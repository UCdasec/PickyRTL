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Spring_2026\Initial_AI_Testing\Detection_Result_Comparison\"/>
    </mc:Choice>
  </mc:AlternateContent>
  <xr:revisionPtr revIDLastSave="0" documentId="13_ncr:1_{67FB2C88-26DF-46D7-AEA7-71C1AF8F13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N7" i="1"/>
  <c r="O6" i="1"/>
  <c r="N6" i="1"/>
  <c r="O5" i="1"/>
  <c r="N5" i="1"/>
  <c r="O4" i="1"/>
  <c r="N4" i="1"/>
  <c r="O3" i="1"/>
  <c r="N3" i="1"/>
  <c r="F3" i="1"/>
  <c r="F4" i="1"/>
  <c r="F5" i="1"/>
  <c r="F6" i="1"/>
  <c r="F7" i="1"/>
  <c r="G3" i="1"/>
  <c r="G4" i="1"/>
  <c r="G5" i="1"/>
  <c r="G6" i="1"/>
  <c r="G7" i="1"/>
</calcChain>
</file>

<file path=xl/sharedStrings.xml><?xml version="1.0" encoding="utf-8"?>
<sst xmlns="http://schemas.openxmlformats.org/spreadsheetml/2006/main" count="26" uniqueCount="14">
  <si>
    <t>CWE</t>
  </si>
  <si>
    <t># Vulnerabilities</t>
  </si>
  <si>
    <t>TP</t>
  </si>
  <si>
    <t>FP</t>
  </si>
  <si>
    <t>FN</t>
  </si>
  <si>
    <t>Precision</t>
  </si>
  <si>
    <t>Recall</t>
  </si>
  <si>
    <t>CWE-1245</t>
  </si>
  <si>
    <t>CWE-1233</t>
  </si>
  <si>
    <t>CWE-226</t>
  </si>
  <si>
    <t>CWE-1431</t>
  </si>
  <si>
    <t>Total</t>
  </si>
  <si>
    <t>Detection Results on Gathered Examples</t>
  </si>
  <si>
    <t>Detection Results on AI Generated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</si>
</sst>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4" fontId="0" fillId="0" borderId="1" xfId="1" applyNumberFormat="1" applyFont="1" applyBorder="1" applyAlignment="1">
      <alignment horizontal="center" vertical="center"/>
    </xf>
    <xf numFmtId="174" fontId="2" fillId="0" borderId="8" xfId="1" applyNumberFormat="1" applyFont="1" applyBorder="1" applyAlignment="1">
      <alignment horizontal="center" vertical="center"/>
    </xf>
    <xf numFmtId="174" fontId="0" fillId="0" borderId="6" xfId="1" applyNumberFormat="1" applyFont="1" applyBorder="1" applyAlignment="1">
      <alignment horizontal="center" vertical="center"/>
    </xf>
    <xf numFmtId="174" fontId="2" fillId="0" borderId="9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4">
    <dxf>
      <numFmt numFmtId="17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4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BA9DC-64A7-4317-9C99-F2E72A1E49AF}" name="Table1" displayName="Table1" ref="A2:G7" headerRowDxfId="21" dataDxfId="33" totalsRowDxfId="20" headerRowBorderDxfId="26" tableBorderDxfId="27">
  <autoFilter ref="A2:G7" xr:uid="{E5ABA9DC-64A7-4317-9C99-F2E72A1E49AF}"/>
  <tableColumns count="7">
    <tableColumn id="1" xr3:uid="{75D6D232-A9B5-4C18-8618-9E40C73158C0}" name="CWE" totalsRowLabel="Total" dataDxfId="25" totalsRowDxfId="28"/>
    <tableColumn id="2" xr3:uid="{2B22B747-98C2-4658-B6D2-87D9293C5F60}" name="# Vulnerabilities" dataDxfId="24" totalsRowDxfId="29"/>
    <tableColumn id="3" xr3:uid="{63D363F4-7DB4-4C1E-89E4-57C30EA82D09}" name="TP" dataDxfId="23" totalsRowDxfId="30"/>
    <tableColumn id="4" xr3:uid="{E5D634AA-85CF-47EA-AFB2-4FB05B72B9E6}" name="FP" dataDxfId="22" totalsRowDxfId="31"/>
    <tableColumn id="5" xr3:uid="{55F21F5E-036B-47C0-9371-36782A7ACF04}" name="FN" dataDxfId="19" totalsRowDxfId="32"/>
    <tableColumn id="6" xr3:uid="{B0956A02-6E46-4078-AD3C-FBC3BACDB3F6}" name="Precision" dataDxfId="18" dataCellStyle="Percent">
      <calculatedColumnFormula>C3/(C3+D3)</calculatedColumnFormula>
    </tableColumn>
    <tableColumn id="7" xr3:uid="{4E0E49B0-78DD-4CE3-B2DB-C3E97D172242}" name="Recall" totalsRowFunction="sum" dataDxfId="17" dataCellStyle="Percent">
      <calculatedColumnFormula>C3/(C3+E3)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BEAB96-D738-4D1A-BCFB-E95D63C82577}" name="Table13" displayName="Table13" ref="I2:O7" headerRowDxfId="16" dataDxfId="15" totalsRowDxfId="14" headerRowBorderDxfId="12" tableBorderDxfId="13">
  <autoFilter ref="I2:O7" xr:uid="{E4BEAB96-D738-4D1A-BCFB-E95D63C82577}"/>
  <tableColumns count="7">
    <tableColumn id="1" xr3:uid="{90611569-3972-46A3-989B-D73B48DD7DA6}" name="CWE" totalsRowLabel="Total" dataDxfId="10" totalsRowDxfId="11"/>
    <tableColumn id="2" xr3:uid="{4CDE348C-3FB7-4E69-9AFA-0A1E2957A595}" name="# Vulnerabilities" dataDxfId="8" totalsRowDxfId="9"/>
    <tableColumn id="3" xr3:uid="{AD5D96B7-96E3-406A-9A96-FFF44D1B9D80}" name="TP" dataDxfId="6" totalsRowDxfId="7"/>
    <tableColumn id="4" xr3:uid="{EDAAD9D3-3EB2-49ED-952B-34754C3F20ED}" name="FP" dataDxfId="4" totalsRowDxfId="5"/>
    <tableColumn id="5" xr3:uid="{FB989C5B-A6FB-42B3-98DD-C586CC48290E}" name="FN" dataDxfId="2" totalsRowDxfId="3"/>
    <tableColumn id="6" xr3:uid="{FB0F5D7C-27E2-4ED6-8DC6-F59A64A57816}" name="Precision" dataDxfId="1" dataCellStyle="Percent">
      <calculatedColumnFormula>K3/(K3+L3)</calculatedColumnFormula>
    </tableColumn>
    <tableColumn id="7" xr3:uid="{6D3B2D05-AD5C-4E54-9A59-3C53473F3AC6}" name="Recall" totalsRowFunction="sum" dataDxfId="0" dataCellStyle="Percent">
      <calculatedColumnFormula>K3/(K3+M3)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topLeftCell="D1" zoomScale="160" zoomScaleNormal="160" workbookViewId="0">
      <selection activeCell="I10" activeCellId="1" sqref="L7 I10"/>
    </sheetView>
  </sheetViews>
  <sheetFormatPr defaultRowHeight="14.4" x14ac:dyDescent="0.3"/>
  <cols>
    <col min="1" max="1" width="8.88671875" style="1"/>
    <col min="2" max="2" width="17.109375" style="1" customWidth="1"/>
    <col min="3" max="5" width="8.88671875" style="1"/>
    <col min="6" max="6" width="10.88671875" style="1" customWidth="1"/>
    <col min="7" max="9" width="8.88671875" style="1"/>
    <col min="10" max="10" width="18.88671875" style="1" bestFit="1" customWidth="1"/>
    <col min="11" max="16384" width="8.88671875" style="1"/>
  </cols>
  <sheetData>
    <row r="1" spans="1:15" x14ac:dyDescent="0.3">
      <c r="A1" s="13" t="s">
        <v>12</v>
      </c>
      <c r="B1" s="14"/>
      <c r="C1" s="14"/>
      <c r="D1" s="14"/>
      <c r="E1" s="14"/>
      <c r="F1" s="14"/>
      <c r="G1" s="14"/>
      <c r="I1" s="13" t="s">
        <v>13</v>
      </c>
      <c r="J1" s="14"/>
      <c r="K1" s="14"/>
      <c r="L1" s="14"/>
      <c r="M1" s="14"/>
      <c r="N1" s="14"/>
      <c r="O1" s="14"/>
    </row>
    <row r="2" spans="1:15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I2" s="2" t="s">
        <v>0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4" t="s">
        <v>6</v>
      </c>
    </row>
    <row r="3" spans="1:15" x14ac:dyDescent="0.3">
      <c r="A3" s="5" t="s">
        <v>7</v>
      </c>
      <c r="B3" s="6">
        <v>9</v>
      </c>
      <c r="C3" s="6">
        <v>9</v>
      </c>
      <c r="D3" s="6">
        <v>0</v>
      </c>
      <c r="E3" s="6">
        <v>0</v>
      </c>
      <c r="F3" s="9">
        <f>C3/(C3+D3)</f>
        <v>1</v>
      </c>
      <c r="G3" s="11">
        <f>C3/(C3+E3)</f>
        <v>1</v>
      </c>
      <c r="I3" s="5" t="s">
        <v>7</v>
      </c>
      <c r="J3" s="6">
        <v>14</v>
      </c>
      <c r="K3" s="6">
        <v>14</v>
      </c>
      <c r="L3" s="6">
        <v>7</v>
      </c>
      <c r="M3" s="6">
        <v>0</v>
      </c>
      <c r="N3" s="9">
        <f>K3/(K3+L3)</f>
        <v>0.66666666666666663</v>
      </c>
      <c r="O3" s="11">
        <f>K3/(K3+M3)</f>
        <v>1</v>
      </c>
    </row>
    <row r="4" spans="1:15" x14ac:dyDescent="0.3">
      <c r="A4" s="5" t="s">
        <v>8</v>
      </c>
      <c r="B4" s="6">
        <v>30</v>
      </c>
      <c r="C4" s="6">
        <v>19</v>
      </c>
      <c r="D4" s="6">
        <v>9</v>
      </c>
      <c r="E4" s="6">
        <v>11</v>
      </c>
      <c r="F4" s="9">
        <f t="shared" ref="F4:F7" si="0">C4/(C4+D4)</f>
        <v>0.6785714285714286</v>
      </c>
      <c r="G4" s="11">
        <f t="shared" ref="G4:G7" si="1">C4/(C4+E4)</f>
        <v>0.6333333333333333</v>
      </c>
      <c r="I4" s="5" t="s">
        <v>8</v>
      </c>
      <c r="J4" s="6">
        <v>13</v>
      </c>
      <c r="K4" s="6">
        <v>0</v>
      </c>
      <c r="L4" s="6">
        <v>8</v>
      </c>
      <c r="M4" s="6">
        <v>13</v>
      </c>
      <c r="N4" s="9">
        <f t="shared" ref="N4:N7" si="2">K4/(K4+L4)</f>
        <v>0</v>
      </c>
      <c r="O4" s="11">
        <f t="shared" ref="O4:O7" si="3">K4/(K4+M4)</f>
        <v>0</v>
      </c>
    </row>
    <row r="5" spans="1:15" x14ac:dyDescent="0.3">
      <c r="A5" s="5" t="s">
        <v>9</v>
      </c>
      <c r="B5" s="6">
        <v>32</v>
      </c>
      <c r="C5" s="6">
        <v>21</v>
      </c>
      <c r="D5" s="6">
        <v>1</v>
      </c>
      <c r="E5" s="6">
        <v>10</v>
      </c>
      <c r="F5" s="9">
        <f t="shared" si="0"/>
        <v>0.95454545454545459</v>
      </c>
      <c r="G5" s="11">
        <f t="shared" si="1"/>
        <v>0.67741935483870963</v>
      </c>
      <c r="I5" s="5" t="s">
        <v>9</v>
      </c>
      <c r="J5" s="6">
        <v>12</v>
      </c>
      <c r="K5" s="6">
        <v>0</v>
      </c>
      <c r="L5" s="6">
        <v>7</v>
      </c>
      <c r="M5" s="6">
        <v>12</v>
      </c>
      <c r="N5" s="9">
        <f t="shared" si="2"/>
        <v>0</v>
      </c>
      <c r="O5" s="11">
        <f t="shared" si="3"/>
        <v>0</v>
      </c>
    </row>
    <row r="6" spans="1:15" x14ac:dyDescent="0.3">
      <c r="A6" s="5" t="s">
        <v>10</v>
      </c>
      <c r="B6" s="6">
        <v>10</v>
      </c>
      <c r="C6" s="6">
        <v>10</v>
      </c>
      <c r="D6" s="6">
        <v>0</v>
      </c>
      <c r="E6" s="6">
        <v>0</v>
      </c>
      <c r="F6" s="9">
        <f t="shared" si="0"/>
        <v>1</v>
      </c>
      <c r="G6" s="11">
        <f t="shared" si="1"/>
        <v>1</v>
      </c>
      <c r="I6" s="5" t="s">
        <v>10</v>
      </c>
      <c r="J6" s="6">
        <v>12</v>
      </c>
      <c r="K6" s="6">
        <v>7</v>
      </c>
      <c r="L6" s="6">
        <v>0</v>
      </c>
      <c r="M6" s="6">
        <v>5</v>
      </c>
      <c r="N6" s="9">
        <f t="shared" si="2"/>
        <v>1</v>
      </c>
      <c r="O6" s="11">
        <f t="shared" si="3"/>
        <v>0.58333333333333337</v>
      </c>
    </row>
    <row r="7" spans="1:15" x14ac:dyDescent="0.3">
      <c r="A7" s="7" t="s">
        <v>11</v>
      </c>
      <c r="B7" s="8">
        <v>81</v>
      </c>
      <c r="C7" s="8">
        <v>59</v>
      </c>
      <c r="D7" s="8">
        <v>10</v>
      </c>
      <c r="E7" s="8">
        <v>21</v>
      </c>
      <c r="F7" s="10">
        <f t="shared" si="0"/>
        <v>0.85507246376811596</v>
      </c>
      <c r="G7" s="12">
        <f t="shared" si="1"/>
        <v>0.73750000000000004</v>
      </c>
      <c r="I7" s="7" t="s">
        <v>11</v>
      </c>
      <c r="J7" s="8">
        <v>51</v>
      </c>
      <c r="K7" s="8">
        <v>21</v>
      </c>
      <c r="L7" s="8">
        <v>22</v>
      </c>
      <c r="M7" s="8">
        <v>30</v>
      </c>
      <c r="N7" s="10">
        <f t="shared" si="2"/>
        <v>0.48837209302325579</v>
      </c>
      <c r="O7" s="12">
        <f t="shared" si="3"/>
        <v>0.41176470588235292</v>
      </c>
    </row>
  </sheetData>
  <mergeCells count="2">
    <mergeCell ref="A1:G1"/>
    <mergeCell ref="I1:O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 parks</cp:lastModifiedBy>
  <dcterms:created xsi:type="dcterms:W3CDTF">2015-06-05T18:17:20Z</dcterms:created>
  <dcterms:modified xsi:type="dcterms:W3CDTF">2026-02-03T17:39:03Z</dcterms:modified>
</cp:coreProperties>
</file>