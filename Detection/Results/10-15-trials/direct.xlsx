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15-trials\"/>
    </mc:Choice>
  </mc:AlternateContent>
  <xr:revisionPtr revIDLastSave="0" documentId="13_ncr:1_{1A28F499-A06A-4D55-9F17-25B42F0FC9B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H13" i="3"/>
  <c r="G13" i="3"/>
  <c r="K12" i="3"/>
  <c r="J12" i="3"/>
  <c r="L12" i="3" s="1"/>
  <c r="K11" i="3"/>
  <c r="J11" i="3"/>
  <c r="L11" i="3" s="1"/>
  <c r="K10" i="3"/>
  <c r="J10" i="3"/>
  <c r="L10" i="3" s="1"/>
  <c r="K9" i="3"/>
  <c r="J9" i="3"/>
  <c r="L9" i="3" s="1"/>
  <c r="K8" i="3"/>
  <c r="J8" i="3"/>
  <c r="L8" i="3" s="1"/>
  <c r="K7" i="3"/>
  <c r="J7" i="3"/>
  <c r="L7" i="3" s="1"/>
  <c r="K6" i="3"/>
  <c r="J6" i="3"/>
  <c r="L6" i="3" s="1"/>
  <c r="K5" i="3"/>
  <c r="J5" i="3"/>
  <c r="L5" i="3" s="1"/>
  <c r="K4" i="3"/>
  <c r="J4" i="3"/>
  <c r="L4" i="3" s="1"/>
  <c r="K3" i="3"/>
  <c r="J3" i="3"/>
  <c r="L3" i="3" s="1"/>
  <c r="J13" i="3" l="1"/>
  <c r="L13" i="3" s="1"/>
  <c r="K13" i="3"/>
</calcChain>
</file>

<file path=xl/sharedStrings.xml><?xml version="1.0" encoding="utf-8"?>
<sst xmlns="http://schemas.openxmlformats.org/spreadsheetml/2006/main" count="564" uniqueCount="225">
  <si>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</si>
  <si>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</si>
  <si>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</si>
  <si>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</si>
  <si>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</si>
  <si>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</si>
  <si>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</si>
  <si>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</si>
  <si>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</si>
  <si>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</si>
  <si>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</si>
  <si>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</si>
  <si>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</si>
  <si>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</si>
  <si>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</si>
  <si>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</si>
  <si>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</si>
  <si>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</si>
  <si>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</si>
  <si>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</si>
  <si>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</si>
  <si>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</si>
  <si>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</si>
  <si>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</si>
  <si>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</si>
  <si>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</si>
  <si>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</si>
  <si>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</si>
  <si>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</si>
  <si>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</si>
  <si>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</si>
  <si>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</si>
  <si>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</si>
  <si>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</si>
  <si>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</si>
  <si>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</si>
  <si>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</si>
  <si>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</si>
  <si>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</si>
  <si>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</si>
  <si>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</si>
  <si>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</si>
  <si>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</si>
  <si>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</si>
  <si>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</si>
  <si>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</si>
  <si>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</si>
  <si>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</si>
  <si>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</si>
  <si>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</si>
  <si>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</si>
  <si>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</si>
  <si>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</si>
  <si>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</si>
  <si>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</si>
  <si>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</si>
  <si>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</si>
  <si>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</si>
  <si>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</si>
  <si>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</si>
  <si>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</si>
  <si>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</si>
  <si>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</si>
  <si>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</si>
  <si>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</si>
  <si>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</si>
  <si>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</si>
  <si>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</si>
  <si>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</si>
  <si>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</si>
  <si>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</si>
  <si>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</si>
  <si>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</si>
  <si>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</si>
  <si>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</si>
  <si>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</si>
  <si>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</si>
  <si>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</si>
  <si>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</si>
  <si>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</si>
  <si>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</si>
  <si>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</si>
  <si>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</si>
  <si>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</si>
  <si>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</si>
  <si>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</si>
  <si>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</si>
  <si>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</si>
  <si>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</si>
  <si>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</si>
  <si>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</si>
  <si>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</si>
  <si>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</si>
  <si>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</si>
  <si>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</si>
  <si>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</si>
  <si>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</si>
  <si>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</si>
  <si>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</si>
  <si>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</si>
  <si>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</si>
  <si>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</si>
  <si>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</si>
  <si>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</si>
  <si>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</si>
  <si>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</si>
  <si>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</si>
  <si>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</si>
  <si>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</si>
  <si>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</si>
  <si>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</si>
  <si>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</si>
  <si>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</si>
  <si>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</si>
  <si>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</si>
  <si>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</si>
  <si>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</si>
  <si>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acct_mem</t>
  </si>
  <si>
    <t>[84, 90, 90, 92, 92, 94, 94, 96, 96, 98, 98, 100, 100, 102, 102, 104, 104, 106, 106, 108, 108]</t>
  </si>
  <si>
    <t>Vulnerable: Assignment(s) on line [84] are not protected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</si>
  <si>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</si>
  <si>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</si>
  <si>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</si>
  <si>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</si>
  <si>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</si>
  <si>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</si>
  <si>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</si>
  <si>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</si>
  <si>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</si>
  <si>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</si>
  <si>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</si>
  <si>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</si>
  <si>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</si>
  <si>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</si>
  <si>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</si>
  <si>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</si>
  <si>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</si>
  <si>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</si>
  <si>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</si>
  <si>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</si>
  <si>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</si>
  <si>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</si>
  <si>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</si>
  <si>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</si>
  <si>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</si>
  <si>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</si>
  <si>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[233, 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</si>
  <si>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</si>
  <si>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</si>
  <si>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</si>
  <si>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</si>
  <si>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</si>
  <si>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</si>
  <si>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</si>
  <si>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Register</t>
  </si>
  <si>
    <t>Reset Coverage</t>
  </si>
  <si>
    <t>Vulnerable: No reset logic found for poly128</t>
  </si>
  <si>
    <t>Vulnerable: No reset logic found for poly16_big</t>
  </si>
  <si>
    <t>Vulnerable: No reset logic found for poly32_big</t>
  </si>
  <si>
    <t>Vulnerable: No reset logic found for poly64</t>
  </si>
  <si>
    <t>Secure: Reset logic found for rdata (Line No: 152)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</si>
  <si>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</si>
  <si>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</si>
  <si>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</si>
  <si>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key2</t>
  </si>
  <si>
    <t>Vulnerable: No reset logic found for key0</t>
  </si>
  <si>
    <t>Vulnerable: No reset logic found for key_sel</t>
  </si>
  <si>
    <t>Vulnerable: No reset logic found for key1</t>
  </si>
  <si>
    <t>Secure: Reset logic found for rdata (Line No: 165)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</si>
  <si>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</si>
  <si>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</si>
  <si>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</si>
  <si>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</si>
  <si>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</si>
  <si>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</si>
  <si>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</si>
  <si>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</si>
  <si>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</si>
  <si>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msg_in (Line No: 75)</t>
  </si>
  <si>
    <t>Secure: Reset logic found for rdata (Line No: 354)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</si>
  <si>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</si>
  <si>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</si>
  <si>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</si>
  <si>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ikey_hash_bytes</t>
  </si>
  <si>
    <t>Vulnerable: No reset logic found for key_hash_bypass</t>
  </si>
  <si>
    <t>Vulnerable: No reset logic found for okey_hash_bytes</t>
  </si>
  <si>
    <t>Secure: Reset logic found for rdata (Line No: 222)</t>
  </si>
  <si>
    <t>Vulnerable: No reset logic found for acct_mem</t>
  </si>
  <si>
    <t>Secure: Reset logic found for rdata (Line No: 117)</t>
  </si>
  <si>
    <t>Secure: Reset logic found for rdata (Line No: 94)</t>
  </si>
  <si>
    <t>Secure: Reset logic found for start (Line No: 88)</t>
  </si>
  <si>
    <t>Secure: Reset logic found for state (Line No: 93)</t>
  </si>
  <si>
    <t>Vulnerable: No reset logic found for p_c</t>
  </si>
  <si>
    <t>Secure: Reset logic found for rdata (Line No: 155)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</si>
  <si>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</si>
  <si>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</si>
  <si>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</si>
  <si>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</si>
  <si>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</si>
  <si>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</si>
  <si>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</si>
  <si>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block_reg (Line No: 233)</t>
  </si>
  <si>
    <t>Vulnerable: No reset logic found for key_reg0</t>
  </si>
  <si>
    <t>Vulnerable: No reset logic found for key_reg2</t>
  </si>
  <si>
    <t>Vulnerable: No reset logic found for key_reg1</t>
  </si>
  <si>
    <t>Vulnerable: No reset logic found for rdata</t>
  </si>
  <si>
    <t>LoC</t>
  </si>
  <si>
    <t>Detection Time</t>
  </si>
  <si>
    <t>File</t>
  </si>
  <si>
    <t>Vulnerable Registers</t>
  </si>
  <si>
    <t>TP</t>
  </si>
  <si>
    <t>FP</t>
  </si>
  <si>
    <t>FN</t>
  </si>
  <si>
    <t>Precision</t>
  </si>
  <si>
    <t>Recall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</si>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</sst>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BEBB5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EBB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17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17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68</v>
      </c>
      <c r="C18" t="s">
        <v>92</v>
      </c>
      <c r="D18" t="s">
        <v>60</v>
      </c>
      <c r="E18" t="s">
        <v>61</v>
      </c>
    </row>
    <row r="19" spans="1:5" x14ac:dyDescent="0.3">
      <c r="A19" t="s">
        <v>20</v>
      </c>
      <c r="B19" t="s">
        <v>93</v>
      </c>
      <c r="C19" t="s">
        <v>94</v>
      </c>
      <c r="D19" t="s">
        <v>60</v>
      </c>
      <c r="E19" t="s">
        <v>61</v>
      </c>
    </row>
    <row r="20" spans="1:5" x14ac:dyDescent="0.3">
      <c r="A20" t="s">
        <v>20</v>
      </c>
      <c r="B20" t="s">
        <v>95</v>
      </c>
      <c r="C20" t="s">
        <v>96</v>
      </c>
      <c r="D20" t="s">
        <v>60</v>
      </c>
      <c r="E20" t="s">
        <v>61</v>
      </c>
    </row>
    <row r="21" spans="1:5" x14ac:dyDescent="0.3">
      <c r="A21" t="s">
        <v>20</v>
      </c>
      <c r="B21" t="s">
        <v>97</v>
      </c>
      <c r="C21" t="s">
        <v>98</v>
      </c>
      <c r="D21" t="s">
        <v>60</v>
      </c>
      <c r="E21" t="s">
        <v>61</v>
      </c>
    </row>
    <row r="22" spans="1:5" x14ac:dyDescent="0.3">
      <c r="A22" t="s">
        <v>20</v>
      </c>
      <c r="B22" t="s">
        <v>99</v>
      </c>
      <c r="C22" t="s">
        <v>100</v>
      </c>
      <c r="D22" t="s">
        <v>60</v>
      </c>
      <c r="E22" t="s">
        <v>61</v>
      </c>
    </row>
    <row r="23" spans="1:5" x14ac:dyDescent="0.3">
      <c r="A23" t="s">
        <v>20</v>
      </c>
      <c r="B23" t="s">
        <v>101</v>
      </c>
      <c r="C23" t="s">
        <v>102</v>
      </c>
      <c r="D23" t="s">
        <v>60</v>
      </c>
      <c r="E23" t="s">
        <v>61</v>
      </c>
    </row>
    <row r="24" spans="1:5" x14ac:dyDescent="0.3">
      <c r="A24" t="s">
        <v>20</v>
      </c>
      <c r="B24" t="s">
        <v>103</v>
      </c>
      <c r="C24" t="s">
        <v>104</v>
      </c>
      <c r="D24" t="s">
        <v>60</v>
      </c>
      <c r="E24" t="s">
        <v>61</v>
      </c>
    </row>
    <row r="25" spans="1:5" x14ac:dyDescent="0.3">
      <c r="A25" t="s">
        <v>20</v>
      </c>
      <c r="B25" t="s">
        <v>68</v>
      </c>
      <c r="C25" t="s">
        <v>105</v>
      </c>
      <c r="D25" t="s">
        <v>60</v>
      </c>
      <c r="E25" t="s">
        <v>61</v>
      </c>
    </row>
    <row r="26" spans="1:5" x14ac:dyDescent="0.3">
      <c r="A26" t="s">
        <v>25</v>
      </c>
      <c r="B26" t="s">
        <v>86</v>
      </c>
      <c r="C26" t="s">
        <v>106</v>
      </c>
      <c r="D26" t="s">
        <v>60</v>
      </c>
      <c r="E26" t="s">
        <v>61</v>
      </c>
    </row>
    <row r="27" spans="1:5" x14ac:dyDescent="0.3">
      <c r="A27" t="s">
        <v>25</v>
      </c>
      <c r="B27" t="s">
        <v>88</v>
      </c>
      <c r="C27" t="s">
        <v>107</v>
      </c>
      <c r="D27" t="s">
        <v>60</v>
      </c>
      <c r="E27" t="s">
        <v>61</v>
      </c>
    </row>
    <row r="28" spans="1:5" x14ac:dyDescent="0.3">
      <c r="A28" t="s">
        <v>25</v>
      </c>
      <c r="B28" t="s">
        <v>108</v>
      </c>
      <c r="C28" t="s">
        <v>109</v>
      </c>
      <c r="D28" t="s">
        <v>60</v>
      </c>
      <c r="E28" t="s">
        <v>61</v>
      </c>
    </row>
    <row r="29" spans="1:5" x14ac:dyDescent="0.3">
      <c r="A29" t="s">
        <v>25</v>
      </c>
      <c r="B29" t="s">
        <v>90</v>
      </c>
      <c r="C29" t="s">
        <v>110</v>
      </c>
      <c r="D29" t="s">
        <v>60</v>
      </c>
      <c r="E29" t="s">
        <v>61</v>
      </c>
    </row>
    <row r="30" spans="1:5" x14ac:dyDescent="0.3">
      <c r="A30" t="s">
        <v>25</v>
      </c>
      <c r="B30" t="s">
        <v>74</v>
      </c>
      <c r="C30" t="s">
        <v>111</v>
      </c>
      <c r="D30" t="s">
        <v>60</v>
      </c>
      <c r="E30" t="s">
        <v>61</v>
      </c>
    </row>
    <row r="31" spans="1:5" x14ac:dyDescent="0.3">
      <c r="A31" t="s">
        <v>25</v>
      </c>
      <c r="B31" t="s">
        <v>112</v>
      </c>
      <c r="C31" t="s">
        <v>113</v>
      </c>
      <c r="D31" t="s">
        <v>60</v>
      </c>
      <c r="E31" t="s">
        <v>61</v>
      </c>
    </row>
    <row r="32" spans="1:5" x14ac:dyDescent="0.3">
      <c r="A32" t="s">
        <v>25</v>
      </c>
      <c r="B32" t="s">
        <v>114</v>
      </c>
      <c r="C32" t="s">
        <v>115</v>
      </c>
      <c r="D32" t="s">
        <v>60</v>
      </c>
      <c r="E32" t="s">
        <v>61</v>
      </c>
    </row>
    <row r="33" spans="1:5" x14ac:dyDescent="0.3">
      <c r="A33" t="s">
        <v>25</v>
      </c>
      <c r="B33" t="s">
        <v>68</v>
      </c>
      <c r="C33" t="s">
        <v>116</v>
      </c>
      <c r="D33" t="s">
        <v>60</v>
      </c>
      <c r="E33" t="s">
        <v>61</v>
      </c>
    </row>
    <row r="34" spans="1:5" x14ac:dyDescent="0.3">
      <c r="A34" t="s">
        <v>30</v>
      </c>
      <c r="B34" t="s">
        <v>117</v>
      </c>
      <c r="C34" t="s">
        <v>118</v>
      </c>
      <c r="D34" t="s">
        <v>60</v>
      </c>
      <c r="E34" t="s">
        <v>119</v>
      </c>
    </row>
    <row r="35" spans="1:5" x14ac:dyDescent="0.3">
      <c r="A35" t="s">
        <v>30</v>
      </c>
      <c r="B35" t="s">
        <v>68</v>
      </c>
      <c r="C35" t="s">
        <v>120</v>
      </c>
      <c r="D35" t="s">
        <v>60</v>
      </c>
      <c r="E35" t="s">
        <v>61</v>
      </c>
    </row>
    <row r="36" spans="1:5" x14ac:dyDescent="0.3">
      <c r="A36" t="s">
        <v>33</v>
      </c>
      <c r="B36" t="s">
        <v>68</v>
      </c>
      <c r="C36" t="s">
        <v>121</v>
      </c>
      <c r="D36" t="s">
        <v>60</v>
      </c>
      <c r="E36" t="s">
        <v>122</v>
      </c>
    </row>
    <row r="37" spans="1:5" x14ac:dyDescent="0.3">
      <c r="A37" t="s">
        <v>41</v>
      </c>
      <c r="B37" t="s">
        <v>70</v>
      </c>
      <c r="C37" t="s">
        <v>123</v>
      </c>
      <c r="D37" t="s">
        <v>60</v>
      </c>
      <c r="E37" t="s">
        <v>61</v>
      </c>
    </row>
    <row r="38" spans="1:5" x14ac:dyDescent="0.3">
      <c r="A38" t="s">
        <v>41</v>
      </c>
      <c r="B38" t="s">
        <v>72</v>
      </c>
      <c r="C38" t="s">
        <v>124</v>
      </c>
      <c r="D38" t="s">
        <v>60</v>
      </c>
      <c r="E38" t="s">
        <v>61</v>
      </c>
    </row>
    <row r="39" spans="1:5" x14ac:dyDescent="0.3">
      <c r="A39" t="s">
        <v>41</v>
      </c>
      <c r="B39" t="s">
        <v>74</v>
      </c>
      <c r="C39" t="s">
        <v>125</v>
      </c>
      <c r="D39" t="s">
        <v>60</v>
      </c>
      <c r="E39" t="s">
        <v>61</v>
      </c>
    </row>
    <row r="40" spans="1:5" x14ac:dyDescent="0.3">
      <c r="A40" t="s">
        <v>41</v>
      </c>
      <c r="B40" t="s">
        <v>76</v>
      </c>
      <c r="C40" t="s">
        <v>126</v>
      </c>
      <c r="D40" t="s">
        <v>60</v>
      </c>
      <c r="E40" t="s">
        <v>61</v>
      </c>
    </row>
    <row r="41" spans="1:5" x14ac:dyDescent="0.3">
      <c r="A41" t="s">
        <v>41</v>
      </c>
      <c r="B41" t="s">
        <v>78</v>
      </c>
      <c r="C41" t="s">
        <v>127</v>
      </c>
      <c r="D41" t="s">
        <v>60</v>
      </c>
      <c r="E41" t="s">
        <v>61</v>
      </c>
    </row>
    <row r="42" spans="1:5" x14ac:dyDescent="0.3">
      <c r="A42" t="s">
        <v>41</v>
      </c>
      <c r="B42" t="s">
        <v>80</v>
      </c>
      <c r="C42" t="s">
        <v>128</v>
      </c>
      <c r="D42" t="s">
        <v>60</v>
      </c>
      <c r="E42" t="s">
        <v>61</v>
      </c>
    </row>
    <row r="43" spans="1:5" x14ac:dyDescent="0.3">
      <c r="A43" t="s">
        <v>41</v>
      </c>
      <c r="B43" t="s">
        <v>82</v>
      </c>
      <c r="C43" t="s">
        <v>129</v>
      </c>
      <c r="D43" t="s">
        <v>60</v>
      </c>
      <c r="E43" t="s">
        <v>61</v>
      </c>
    </row>
    <row r="44" spans="1:5" x14ac:dyDescent="0.3">
      <c r="A44" t="s">
        <v>41</v>
      </c>
      <c r="B44" t="s">
        <v>68</v>
      </c>
      <c r="C44" t="s">
        <v>130</v>
      </c>
      <c r="D44" t="s">
        <v>60</v>
      </c>
      <c r="E44" t="s">
        <v>131</v>
      </c>
    </row>
    <row r="45" spans="1:5" x14ac:dyDescent="0.3">
      <c r="A45" t="s">
        <v>46</v>
      </c>
      <c r="B45" t="s">
        <v>132</v>
      </c>
      <c r="C45" t="s">
        <v>133</v>
      </c>
      <c r="D45" t="s">
        <v>60</v>
      </c>
      <c r="E45" t="s">
        <v>61</v>
      </c>
    </row>
    <row r="46" spans="1:5" x14ac:dyDescent="0.3">
      <c r="A46" t="s">
        <v>46</v>
      </c>
      <c r="B46" t="s">
        <v>134</v>
      </c>
      <c r="C46" t="s">
        <v>135</v>
      </c>
      <c r="D46" t="s">
        <v>60</v>
      </c>
      <c r="E46" t="s">
        <v>61</v>
      </c>
    </row>
    <row r="47" spans="1:5" x14ac:dyDescent="0.3">
      <c r="A47" t="s">
        <v>46</v>
      </c>
      <c r="B47" t="s">
        <v>136</v>
      </c>
      <c r="C47" t="s">
        <v>137</v>
      </c>
      <c r="D47" t="s">
        <v>60</v>
      </c>
      <c r="E47" t="s">
        <v>61</v>
      </c>
    </row>
    <row r="48" spans="1:5" x14ac:dyDescent="0.3">
      <c r="A48" t="s">
        <v>46</v>
      </c>
      <c r="B48" t="s">
        <v>138</v>
      </c>
      <c r="C48" t="s">
        <v>139</v>
      </c>
      <c r="D48" t="s">
        <v>60</v>
      </c>
      <c r="E48" t="s">
        <v>61</v>
      </c>
    </row>
    <row r="49" spans="1:5" x14ac:dyDescent="0.3">
      <c r="A49" t="s">
        <v>46</v>
      </c>
      <c r="B49" t="s">
        <v>140</v>
      </c>
      <c r="C49" t="s">
        <v>141</v>
      </c>
      <c r="D49" t="s">
        <v>60</v>
      </c>
      <c r="E49" t="s">
        <v>61</v>
      </c>
    </row>
    <row r="50" spans="1:5" x14ac:dyDescent="0.3">
      <c r="A50" t="s">
        <v>46</v>
      </c>
      <c r="B50" t="s">
        <v>142</v>
      </c>
      <c r="C50" t="s">
        <v>143</v>
      </c>
      <c r="D50" t="s">
        <v>60</v>
      </c>
      <c r="E50" t="s">
        <v>61</v>
      </c>
    </row>
    <row r="51" spans="1:5" x14ac:dyDescent="0.3">
      <c r="A51" t="s">
        <v>46</v>
      </c>
      <c r="B51" t="s">
        <v>82</v>
      </c>
      <c r="C51" t="s">
        <v>144</v>
      </c>
      <c r="D51" t="s">
        <v>60</v>
      </c>
      <c r="E51" t="s">
        <v>61</v>
      </c>
    </row>
    <row r="52" spans="1:5" x14ac:dyDescent="0.3">
      <c r="A52" t="s">
        <v>46</v>
      </c>
      <c r="B52" t="s">
        <v>145</v>
      </c>
      <c r="C52" t="s">
        <v>146</v>
      </c>
      <c r="D52" t="s">
        <v>60</v>
      </c>
      <c r="E52" t="s">
        <v>61</v>
      </c>
    </row>
    <row r="53" spans="1:5" x14ac:dyDescent="0.3">
      <c r="A53" t="s">
        <v>46</v>
      </c>
      <c r="B53" t="s">
        <v>147</v>
      </c>
      <c r="C53" t="s">
        <v>148</v>
      </c>
      <c r="D53" t="s">
        <v>60</v>
      </c>
      <c r="E53" t="s">
        <v>61</v>
      </c>
    </row>
    <row r="54" spans="1:5" x14ac:dyDescent="0.3">
      <c r="A54" t="s">
        <v>46</v>
      </c>
      <c r="B54" t="s">
        <v>149</v>
      </c>
      <c r="C54" t="s">
        <v>150</v>
      </c>
      <c r="D54" t="s">
        <v>60</v>
      </c>
      <c r="E54" t="s">
        <v>61</v>
      </c>
    </row>
    <row r="55" spans="1:5" x14ac:dyDescent="0.3">
      <c r="A55" t="s">
        <v>46</v>
      </c>
      <c r="B55" t="s">
        <v>151</v>
      </c>
      <c r="C55" t="s">
        <v>152</v>
      </c>
      <c r="D55" t="s">
        <v>60</v>
      </c>
      <c r="E55" t="s">
        <v>61</v>
      </c>
    </row>
    <row r="56" spans="1:5" x14ac:dyDescent="0.3">
      <c r="A56" t="s">
        <v>46</v>
      </c>
      <c r="B56" t="s">
        <v>68</v>
      </c>
      <c r="C56" t="s">
        <v>153</v>
      </c>
      <c r="D56" t="s">
        <v>60</v>
      </c>
      <c r="E56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tabSelected="1" workbookViewId="0">
      <selection activeCell="H9" sqref="H9"/>
    </sheetView>
  </sheetViews>
  <sheetFormatPr defaultRowHeight="14.4" x14ac:dyDescent="0.3"/>
  <cols>
    <col min="1" max="1" width="20.109375" customWidth="1"/>
    <col min="2" max="2" width="15.109375" bestFit="1" customWidth="1"/>
    <col min="3" max="3" width="48.109375" bestFit="1" customWidth="1"/>
    <col min="6" max="6" width="37.88671875" bestFit="1" customWidth="1"/>
  </cols>
  <sheetData>
    <row r="1" spans="1:12" x14ac:dyDescent="0.3">
      <c r="A1" s="1" t="s">
        <v>0</v>
      </c>
      <c r="B1" s="1" t="s">
        <v>154</v>
      </c>
      <c r="C1" s="1" t="s">
        <v>155</v>
      </c>
    </row>
    <row r="2" spans="1:12" x14ac:dyDescent="0.3">
      <c r="A2" s="3" t="s">
        <v>5</v>
      </c>
      <c r="B2" s="3" t="s">
        <v>58</v>
      </c>
      <c r="C2" s="5" t="s">
        <v>156</v>
      </c>
      <c r="D2" s="6"/>
      <c r="F2" s="2" t="s">
        <v>208</v>
      </c>
      <c r="G2" s="2" t="s">
        <v>209</v>
      </c>
      <c r="H2" s="2" t="s">
        <v>210</v>
      </c>
      <c r="I2" s="2" t="s">
        <v>211</v>
      </c>
      <c r="J2" s="2" t="s">
        <v>212</v>
      </c>
      <c r="K2" s="2" t="s">
        <v>213</v>
      </c>
      <c r="L2" s="2" t="s">
        <v>214</v>
      </c>
    </row>
    <row r="3" spans="1:12" x14ac:dyDescent="0.3">
      <c r="A3" s="3" t="s">
        <v>5</v>
      </c>
      <c r="B3" s="3" t="s">
        <v>66</v>
      </c>
      <c r="C3" s="5" t="s">
        <v>157</v>
      </c>
      <c r="D3" s="6"/>
      <c r="F3" s="2" t="s">
        <v>215</v>
      </c>
      <c r="G3" s="2">
        <v>5</v>
      </c>
      <c r="H3" s="2">
        <v>4</v>
      </c>
      <c r="I3" s="2">
        <v>0</v>
      </c>
      <c r="J3" s="2">
        <f>G3-H3</f>
        <v>1</v>
      </c>
      <c r="K3" s="2">
        <f>H3/(H3+I3)</f>
        <v>1</v>
      </c>
      <c r="L3" s="2">
        <f>H3/(H3+J3)</f>
        <v>0.8</v>
      </c>
    </row>
    <row r="4" spans="1:12" x14ac:dyDescent="0.3">
      <c r="A4" s="3" t="s">
        <v>5</v>
      </c>
      <c r="B4" s="3" t="s">
        <v>64</v>
      </c>
      <c r="C4" s="5" t="s">
        <v>158</v>
      </c>
      <c r="D4" s="6"/>
      <c r="F4" s="2" t="s">
        <v>216</v>
      </c>
      <c r="G4" s="2">
        <v>3</v>
      </c>
      <c r="H4" s="2">
        <v>0</v>
      </c>
      <c r="I4" s="2">
        <v>0</v>
      </c>
      <c r="J4" s="2">
        <f t="shared" ref="J4:J13" si="0">G4-H4</f>
        <v>3</v>
      </c>
      <c r="K4" s="2" t="e">
        <f>H4/(H4+I4)</f>
        <v>#DIV/0!</v>
      </c>
      <c r="L4" s="2">
        <f t="shared" ref="L4:L12" si="1">H4/(H4+J4)</f>
        <v>0</v>
      </c>
    </row>
    <row r="5" spans="1:12" x14ac:dyDescent="0.3">
      <c r="A5" s="3" t="s">
        <v>5</v>
      </c>
      <c r="B5" s="3" t="s">
        <v>62</v>
      </c>
      <c r="C5" s="5" t="s">
        <v>159</v>
      </c>
      <c r="D5" s="6"/>
      <c r="F5" s="2" t="s">
        <v>217</v>
      </c>
      <c r="G5" s="2">
        <v>1</v>
      </c>
      <c r="H5" s="2">
        <v>0</v>
      </c>
      <c r="I5" s="2">
        <v>0</v>
      </c>
      <c r="J5" s="2">
        <f t="shared" si="0"/>
        <v>1</v>
      </c>
      <c r="K5" s="2" t="e">
        <f t="shared" ref="K5:K13" si="2">H5/(H5+I5)</f>
        <v>#DIV/0!</v>
      </c>
      <c r="L5" s="2">
        <f t="shared" si="1"/>
        <v>0</v>
      </c>
    </row>
    <row r="6" spans="1:12" x14ac:dyDescent="0.3">
      <c r="A6" s="3" t="s">
        <v>5</v>
      </c>
      <c r="B6" s="3" t="s">
        <v>68</v>
      </c>
      <c r="C6" s="3" t="s">
        <v>160</v>
      </c>
      <c r="D6" s="7"/>
      <c r="F6" s="2" t="s">
        <v>218</v>
      </c>
      <c r="G6" s="2">
        <v>4</v>
      </c>
      <c r="H6" s="2">
        <v>4</v>
      </c>
      <c r="I6" s="2">
        <v>0</v>
      </c>
      <c r="J6" s="2">
        <f t="shared" si="0"/>
        <v>0</v>
      </c>
      <c r="K6" s="2">
        <f t="shared" si="2"/>
        <v>1</v>
      </c>
      <c r="L6" s="2">
        <f t="shared" si="1"/>
        <v>1</v>
      </c>
    </row>
    <row r="7" spans="1:12" x14ac:dyDescent="0.3">
      <c r="A7" s="4" t="s">
        <v>12</v>
      </c>
      <c r="B7" s="4" t="s">
        <v>70</v>
      </c>
      <c r="C7" s="4" t="s">
        <v>161</v>
      </c>
      <c r="D7" s="7"/>
      <c r="F7" s="2" t="s">
        <v>219</v>
      </c>
      <c r="G7" s="2">
        <v>1</v>
      </c>
      <c r="H7" s="2">
        <v>1</v>
      </c>
      <c r="I7" s="2">
        <v>0</v>
      </c>
      <c r="J7" s="2">
        <f t="shared" si="0"/>
        <v>0</v>
      </c>
      <c r="K7" s="2">
        <f t="shared" si="2"/>
        <v>1</v>
      </c>
      <c r="L7" s="2">
        <f t="shared" si="1"/>
        <v>1</v>
      </c>
    </row>
    <row r="8" spans="1:12" x14ac:dyDescent="0.3">
      <c r="A8" s="4" t="s">
        <v>12</v>
      </c>
      <c r="B8" s="4" t="s">
        <v>72</v>
      </c>
      <c r="C8" s="4" t="s">
        <v>162</v>
      </c>
      <c r="D8" s="8"/>
      <c r="F8" s="2" t="s">
        <v>220</v>
      </c>
      <c r="G8" s="2">
        <v>2</v>
      </c>
      <c r="H8" s="2">
        <v>0</v>
      </c>
      <c r="I8" s="2">
        <v>0</v>
      </c>
      <c r="J8" s="2">
        <f t="shared" si="0"/>
        <v>2</v>
      </c>
      <c r="K8" s="2" t="e">
        <f t="shared" si="2"/>
        <v>#DIV/0!</v>
      </c>
      <c r="L8" s="2">
        <f t="shared" si="1"/>
        <v>0</v>
      </c>
    </row>
    <row r="9" spans="1:12" x14ac:dyDescent="0.3">
      <c r="A9" s="4" t="s">
        <v>12</v>
      </c>
      <c r="B9" s="4" t="s">
        <v>76</v>
      </c>
      <c r="C9" s="4" t="s">
        <v>163</v>
      </c>
      <c r="D9" s="7"/>
      <c r="F9" s="2" t="s">
        <v>221</v>
      </c>
      <c r="G9" s="2">
        <v>2</v>
      </c>
      <c r="H9" s="2">
        <v>0</v>
      </c>
      <c r="I9" s="2">
        <v>0</v>
      </c>
      <c r="J9" s="2">
        <f t="shared" si="0"/>
        <v>2</v>
      </c>
      <c r="K9" s="2" t="e">
        <f t="shared" si="2"/>
        <v>#DIV/0!</v>
      </c>
      <c r="L9" s="2">
        <f t="shared" si="1"/>
        <v>0</v>
      </c>
    </row>
    <row r="10" spans="1:12" x14ac:dyDescent="0.3">
      <c r="A10" s="4" t="s">
        <v>12</v>
      </c>
      <c r="B10" s="4" t="s">
        <v>80</v>
      </c>
      <c r="C10" s="5" t="s">
        <v>164</v>
      </c>
      <c r="D10" s="6"/>
      <c r="F10" s="2" t="s">
        <v>222</v>
      </c>
      <c r="G10" s="2">
        <v>5</v>
      </c>
      <c r="H10" s="2">
        <v>5</v>
      </c>
      <c r="I10" s="2">
        <v>0</v>
      </c>
      <c r="J10" s="2">
        <f t="shared" si="0"/>
        <v>0</v>
      </c>
      <c r="K10" s="2">
        <f t="shared" si="2"/>
        <v>1</v>
      </c>
      <c r="L10" s="2">
        <f t="shared" si="1"/>
        <v>1</v>
      </c>
    </row>
    <row r="11" spans="1:12" x14ac:dyDescent="0.3">
      <c r="A11" s="4" t="s">
        <v>12</v>
      </c>
      <c r="B11" s="4" t="s">
        <v>74</v>
      </c>
      <c r="C11" s="5" t="s">
        <v>165</v>
      </c>
      <c r="D11" s="6"/>
      <c r="F11" s="2" t="s">
        <v>223</v>
      </c>
      <c r="G11" s="2">
        <v>3</v>
      </c>
      <c r="H11" s="2">
        <v>3</v>
      </c>
      <c r="I11" s="2">
        <v>1</v>
      </c>
      <c r="J11" s="2">
        <f t="shared" si="0"/>
        <v>0</v>
      </c>
      <c r="K11" s="2">
        <f t="shared" si="2"/>
        <v>0.75</v>
      </c>
      <c r="L11" s="2">
        <f t="shared" si="1"/>
        <v>1</v>
      </c>
    </row>
    <row r="12" spans="1:12" x14ac:dyDescent="0.3">
      <c r="A12" s="4" t="s">
        <v>12</v>
      </c>
      <c r="B12" s="4" t="s">
        <v>82</v>
      </c>
      <c r="C12" s="5" t="s">
        <v>166</v>
      </c>
      <c r="D12" s="6"/>
      <c r="F12" s="2" t="s">
        <v>224</v>
      </c>
      <c r="G12" s="2">
        <v>6</v>
      </c>
      <c r="H12" s="2">
        <v>4</v>
      </c>
      <c r="I12" s="2">
        <v>0</v>
      </c>
      <c r="J12" s="2">
        <f t="shared" si="0"/>
        <v>2</v>
      </c>
      <c r="K12" s="2">
        <f t="shared" si="2"/>
        <v>1</v>
      </c>
      <c r="L12" s="2">
        <f t="shared" si="1"/>
        <v>0.66666666666666663</v>
      </c>
    </row>
    <row r="13" spans="1:12" x14ac:dyDescent="0.3">
      <c r="A13" s="4" t="s">
        <v>12</v>
      </c>
      <c r="B13" s="4" t="s">
        <v>78</v>
      </c>
      <c r="C13" s="5" t="s">
        <v>167</v>
      </c>
      <c r="D13" s="6"/>
      <c r="F13" s="2" t="s">
        <v>51</v>
      </c>
      <c r="G13" s="2">
        <f>SUM(G3:G12)</f>
        <v>32</v>
      </c>
      <c r="H13" s="2">
        <f t="shared" ref="H13:I13" si="3">SUM(H3:H12)</f>
        <v>21</v>
      </c>
      <c r="I13" s="2">
        <f t="shared" si="3"/>
        <v>1</v>
      </c>
      <c r="J13" s="2">
        <f t="shared" si="0"/>
        <v>11</v>
      </c>
      <c r="K13" s="2">
        <f t="shared" si="2"/>
        <v>0.95454545454545459</v>
      </c>
      <c r="L13" s="2">
        <f>H13/(H13+J13)</f>
        <v>0.65625</v>
      </c>
    </row>
    <row r="14" spans="1:12" x14ac:dyDescent="0.3">
      <c r="A14" s="4" t="s">
        <v>12</v>
      </c>
      <c r="B14" s="4" t="s">
        <v>68</v>
      </c>
      <c r="C14" s="4" t="s">
        <v>168</v>
      </c>
      <c r="D14" s="7"/>
    </row>
    <row r="15" spans="1:12" x14ac:dyDescent="0.3">
      <c r="A15" s="3" t="s">
        <v>17</v>
      </c>
      <c r="B15" s="3" t="s">
        <v>86</v>
      </c>
      <c r="C15" s="3" t="s">
        <v>169</v>
      </c>
      <c r="D15" s="8"/>
    </row>
    <row r="16" spans="1:12" x14ac:dyDescent="0.3">
      <c r="A16" s="3" t="s">
        <v>17</v>
      </c>
      <c r="B16" s="3" t="s">
        <v>88</v>
      </c>
      <c r="C16" s="3" t="s">
        <v>170</v>
      </c>
      <c r="D16" s="8"/>
    </row>
    <row r="17" spans="1:4" x14ac:dyDescent="0.3">
      <c r="A17" s="3" t="s">
        <v>17</v>
      </c>
      <c r="B17" s="3" t="s">
        <v>90</v>
      </c>
      <c r="C17" s="3" t="s">
        <v>171</v>
      </c>
      <c r="D17" s="8"/>
    </row>
    <row r="18" spans="1:4" x14ac:dyDescent="0.3">
      <c r="A18" s="3" t="s">
        <v>17</v>
      </c>
      <c r="B18" s="3" t="s">
        <v>68</v>
      </c>
      <c r="C18" s="3" t="s">
        <v>172</v>
      </c>
      <c r="D18" s="7"/>
    </row>
    <row r="19" spans="1:4" x14ac:dyDescent="0.3">
      <c r="A19" s="4" t="s">
        <v>20</v>
      </c>
      <c r="B19" s="4" t="s">
        <v>93</v>
      </c>
      <c r="C19" s="4" t="s">
        <v>173</v>
      </c>
      <c r="D19" s="7"/>
    </row>
    <row r="20" spans="1:4" x14ac:dyDescent="0.3">
      <c r="A20" s="4" t="s">
        <v>20</v>
      </c>
      <c r="B20" s="4" t="s">
        <v>95</v>
      </c>
      <c r="C20" s="4" t="s">
        <v>174</v>
      </c>
      <c r="D20" s="7"/>
    </row>
    <row r="21" spans="1:4" x14ac:dyDescent="0.3">
      <c r="A21" s="4" t="s">
        <v>20</v>
      </c>
      <c r="B21" s="4" t="s">
        <v>97</v>
      </c>
      <c r="C21" s="4" t="s">
        <v>175</v>
      </c>
      <c r="D21" s="7"/>
    </row>
    <row r="22" spans="1:4" x14ac:dyDescent="0.3">
      <c r="A22" s="4" t="s">
        <v>20</v>
      </c>
      <c r="B22" s="4" t="s">
        <v>99</v>
      </c>
      <c r="C22" s="4" t="s">
        <v>176</v>
      </c>
      <c r="D22" s="7"/>
    </row>
    <row r="23" spans="1:4" x14ac:dyDescent="0.3">
      <c r="A23" s="4" t="s">
        <v>20</v>
      </c>
      <c r="B23" s="4" t="s">
        <v>101</v>
      </c>
      <c r="C23" s="4" t="s">
        <v>177</v>
      </c>
      <c r="D23" s="7"/>
    </row>
    <row r="24" spans="1:4" x14ac:dyDescent="0.3">
      <c r="A24" s="4" t="s">
        <v>20</v>
      </c>
      <c r="B24" s="4" t="s">
        <v>103</v>
      </c>
      <c r="C24" s="4" t="s">
        <v>178</v>
      </c>
      <c r="D24" s="7"/>
    </row>
    <row r="25" spans="1:4" x14ac:dyDescent="0.3">
      <c r="A25" s="4" t="s">
        <v>20</v>
      </c>
      <c r="B25" s="4" t="s">
        <v>68</v>
      </c>
      <c r="C25" s="4" t="s">
        <v>179</v>
      </c>
      <c r="D25" s="7"/>
    </row>
    <row r="26" spans="1:4" x14ac:dyDescent="0.3">
      <c r="A26" s="3" t="s">
        <v>25</v>
      </c>
      <c r="B26" s="3" t="s">
        <v>86</v>
      </c>
      <c r="C26" s="3" t="s">
        <v>180</v>
      </c>
      <c r="D26" s="7"/>
    </row>
    <row r="27" spans="1:4" x14ac:dyDescent="0.3">
      <c r="A27" s="3" t="s">
        <v>25</v>
      </c>
      <c r="B27" s="3" t="s">
        <v>88</v>
      </c>
      <c r="C27" s="3" t="s">
        <v>181</v>
      </c>
      <c r="D27" s="7"/>
    </row>
    <row r="28" spans="1:4" x14ac:dyDescent="0.3">
      <c r="A28" s="3" t="s">
        <v>25</v>
      </c>
      <c r="B28" s="3" t="s">
        <v>90</v>
      </c>
      <c r="C28" s="3" t="s">
        <v>182</v>
      </c>
      <c r="D28" s="7"/>
    </row>
    <row r="29" spans="1:4" x14ac:dyDescent="0.3">
      <c r="A29" s="3" t="s">
        <v>25</v>
      </c>
      <c r="B29" s="3" t="s">
        <v>112</v>
      </c>
      <c r="C29" s="5" t="s">
        <v>183</v>
      </c>
      <c r="D29" s="6"/>
    </row>
    <row r="30" spans="1:4" x14ac:dyDescent="0.3">
      <c r="A30" s="3" t="s">
        <v>25</v>
      </c>
      <c r="B30" s="3" t="s">
        <v>74</v>
      </c>
      <c r="C30" s="5" t="s">
        <v>165</v>
      </c>
      <c r="D30" s="6"/>
    </row>
    <row r="31" spans="1:4" x14ac:dyDescent="0.3">
      <c r="A31" s="3" t="s">
        <v>25</v>
      </c>
      <c r="B31" s="3" t="s">
        <v>108</v>
      </c>
      <c r="C31" s="5" t="s">
        <v>184</v>
      </c>
      <c r="D31" s="6"/>
    </row>
    <row r="32" spans="1:4" x14ac:dyDescent="0.3">
      <c r="A32" s="3" t="s">
        <v>25</v>
      </c>
      <c r="B32" s="3" t="s">
        <v>114</v>
      </c>
      <c r="C32" s="5" t="s">
        <v>185</v>
      </c>
      <c r="D32" s="6"/>
    </row>
    <row r="33" spans="1:4" x14ac:dyDescent="0.3">
      <c r="A33" s="3" t="s">
        <v>25</v>
      </c>
      <c r="B33" s="3" t="s">
        <v>68</v>
      </c>
      <c r="C33" s="3" t="s">
        <v>186</v>
      </c>
      <c r="D33" s="7"/>
    </row>
    <row r="34" spans="1:4" x14ac:dyDescent="0.3">
      <c r="A34" s="4" t="s">
        <v>30</v>
      </c>
      <c r="B34" s="4" t="s">
        <v>117</v>
      </c>
      <c r="C34" s="5" t="s">
        <v>187</v>
      </c>
      <c r="D34" s="6"/>
    </row>
    <row r="35" spans="1:4" x14ac:dyDescent="0.3">
      <c r="A35" s="4" t="s">
        <v>30</v>
      </c>
      <c r="B35" s="4" t="s">
        <v>68</v>
      </c>
      <c r="C35" s="4" t="s">
        <v>188</v>
      </c>
      <c r="D35" s="7"/>
    </row>
    <row r="36" spans="1:4" x14ac:dyDescent="0.3">
      <c r="A36" s="3" t="s">
        <v>33</v>
      </c>
      <c r="B36" s="3" t="s">
        <v>68</v>
      </c>
      <c r="C36" s="3" t="s">
        <v>189</v>
      </c>
      <c r="D36" s="7"/>
    </row>
    <row r="37" spans="1:4" x14ac:dyDescent="0.3">
      <c r="A37" s="4" t="s">
        <v>41</v>
      </c>
      <c r="B37" s="4" t="s">
        <v>70</v>
      </c>
      <c r="C37" s="4" t="s">
        <v>190</v>
      </c>
      <c r="D37" s="7"/>
    </row>
    <row r="38" spans="1:4" x14ac:dyDescent="0.3">
      <c r="A38" s="4" t="s">
        <v>41</v>
      </c>
      <c r="B38" s="4" t="s">
        <v>76</v>
      </c>
      <c r="C38" s="4" t="s">
        <v>191</v>
      </c>
      <c r="D38" s="7"/>
    </row>
    <row r="39" spans="1:4" x14ac:dyDescent="0.3">
      <c r="A39" s="4" t="s">
        <v>41</v>
      </c>
      <c r="B39" s="4" t="s">
        <v>80</v>
      </c>
      <c r="C39" s="5" t="s">
        <v>164</v>
      </c>
      <c r="D39" s="6"/>
    </row>
    <row r="40" spans="1:4" x14ac:dyDescent="0.3">
      <c r="A40" s="4" t="s">
        <v>41</v>
      </c>
      <c r="B40" s="4" t="s">
        <v>74</v>
      </c>
      <c r="C40" s="5" t="s">
        <v>165</v>
      </c>
      <c r="D40" s="6"/>
    </row>
    <row r="41" spans="1:4" x14ac:dyDescent="0.3">
      <c r="A41" s="4" t="s">
        <v>41</v>
      </c>
      <c r="B41" s="4" t="s">
        <v>82</v>
      </c>
      <c r="C41" s="5" t="s">
        <v>166</v>
      </c>
      <c r="D41" s="6"/>
    </row>
    <row r="42" spans="1:4" x14ac:dyDescent="0.3">
      <c r="A42" s="4" t="s">
        <v>41</v>
      </c>
      <c r="B42" s="4" t="s">
        <v>78</v>
      </c>
      <c r="C42" s="5" t="s">
        <v>167</v>
      </c>
      <c r="D42" s="6"/>
    </row>
    <row r="43" spans="1:4" x14ac:dyDescent="0.3">
      <c r="A43" s="4" t="s">
        <v>41</v>
      </c>
      <c r="B43" s="4" t="s">
        <v>72</v>
      </c>
      <c r="C43" s="5" t="s">
        <v>192</v>
      </c>
      <c r="D43" s="6"/>
    </row>
    <row r="44" spans="1:4" x14ac:dyDescent="0.3">
      <c r="A44" s="4" t="s">
        <v>41</v>
      </c>
      <c r="B44" s="4" t="s">
        <v>68</v>
      </c>
      <c r="C44" s="4" t="s">
        <v>193</v>
      </c>
      <c r="D44" s="7"/>
    </row>
    <row r="45" spans="1:4" x14ac:dyDescent="0.3">
      <c r="A45" s="3" t="s">
        <v>46</v>
      </c>
      <c r="B45" s="3" t="s">
        <v>132</v>
      </c>
      <c r="C45" s="3" t="s">
        <v>194</v>
      </c>
      <c r="D45" s="7"/>
    </row>
    <row r="46" spans="1:4" x14ac:dyDescent="0.3">
      <c r="A46" s="3" t="s">
        <v>46</v>
      </c>
      <c r="B46" s="3" t="s">
        <v>134</v>
      </c>
      <c r="C46" s="3" t="s">
        <v>195</v>
      </c>
      <c r="D46" s="7"/>
    </row>
    <row r="47" spans="1:4" x14ac:dyDescent="0.3">
      <c r="A47" s="3" t="s">
        <v>46</v>
      </c>
      <c r="B47" s="3" t="s">
        <v>136</v>
      </c>
      <c r="C47" s="3" t="s">
        <v>196</v>
      </c>
      <c r="D47" s="7"/>
    </row>
    <row r="48" spans="1:4" x14ac:dyDescent="0.3">
      <c r="A48" s="3" t="s">
        <v>46</v>
      </c>
      <c r="B48" s="3" t="s">
        <v>138</v>
      </c>
      <c r="C48" s="3" t="s">
        <v>197</v>
      </c>
      <c r="D48" s="7"/>
    </row>
    <row r="49" spans="1:4" x14ac:dyDescent="0.3">
      <c r="A49" s="3" t="s">
        <v>46</v>
      </c>
      <c r="B49" s="3" t="s">
        <v>140</v>
      </c>
      <c r="C49" s="3" t="s">
        <v>198</v>
      </c>
      <c r="D49" s="7"/>
    </row>
    <row r="50" spans="1:4" x14ac:dyDescent="0.3">
      <c r="A50" s="3" t="s">
        <v>46</v>
      </c>
      <c r="B50" s="3" t="s">
        <v>142</v>
      </c>
      <c r="C50" s="3" t="s">
        <v>199</v>
      </c>
      <c r="D50" s="7"/>
    </row>
    <row r="51" spans="1:4" x14ac:dyDescent="0.3">
      <c r="A51" s="3" t="s">
        <v>46</v>
      </c>
      <c r="B51" s="3" t="s">
        <v>82</v>
      </c>
      <c r="C51" s="3" t="s">
        <v>200</v>
      </c>
      <c r="D51" s="7"/>
    </row>
    <row r="52" spans="1:4" x14ac:dyDescent="0.3">
      <c r="A52" s="3" t="s">
        <v>46</v>
      </c>
      <c r="B52" s="3" t="s">
        <v>145</v>
      </c>
      <c r="C52" s="3" t="s">
        <v>201</v>
      </c>
      <c r="D52" s="7"/>
    </row>
    <row r="53" spans="1:4" x14ac:dyDescent="0.3">
      <c r="A53" s="3" t="s">
        <v>46</v>
      </c>
      <c r="B53" s="3" t="s">
        <v>147</v>
      </c>
      <c r="C53" s="5" t="s">
        <v>202</v>
      </c>
      <c r="D53" s="6"/>
    </row>
    <row r="54" spans="1:4" x14ac:dyDescent="0.3">
      <c r="A54" s="3" t="s">
        <v>46</v>
      </c>
      <c r="B54" s="3" t="s">
        <v>151</v>
      </c>
      <c r="C54" s="5" t="s">
        <v>203</v>
      </c>
      <c r="D54" s="6"/>
    </row>
    <row r="55" spans="1:4" x14ac:dyDescent="0.3">
      <c r="A55" s="3" t="s">
        <v>46</v>
      </c>
      <c r="B55" s="3" t="s">
        <v>149</v>
      </c>
      <c r="C55" s="5" t="s">
        <v>204</v>
      </c>
      <c r="D55" s="6"/>
    </row>
    <row r="56" spans="1:4" x14ac:dyDescent="0.3">
      <c r="A56" s="3" t="s">
        <v>46</v>
      </c>
      <c r="B56" s="3" t="s">
        <v>68</v>
      </c>
      <c r="C56" s="5" t="s">
        <v>205</v>
      </c>
      <c r="D5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206</v>
      </c>
      <c r="C1" s="1" t="s">
        <v>207</v>
      </c>
    </row>
    <row r="2" spans="1:3" x14ac:dyDescent="0.3">
      <c r="A2" t="s">
        <v>5</v>
      </c>
      <c r="B2">
        <v>246</v>
      </c>
      <c r="C2">
        <v>8.3261799998581409E-2</v>
      </c>
    </row>
    <row r="3" spans="1:3" x14ac:dyDescent="0.3">
      <c r="A3" t="s">
        <v>12</v>
      </c>
      <c r="B3">
        <v>211</v>
      </c>
      <c r="C3">
        <v>0.14092259993776679</v>
      </c>
    </row>
    <row r="4" spans="1:3" x14ac:dyDescent="0.3">
      <c r="A4" t="s">
        <v>17</v>
      </c>
      <c r="B4">
        <v>240</v>
      </c>
      <c r="C4">
        <v>0.16987769980914891</v>
      </c>
    </row>
    <row r="5" spans="1:3" x14ac:dyDescent="0.3">
      <c r="A5" t="s">
        <v>20</v>
      </c>
      <c r="B5">
        <v>508</v>
      </c>
      <c r="C5">
        <v>0.36012719990685582</v>
      </c>
    </row>
    <row r="6" spans="1:3" x14ac:dyDescent="0.3">
      <c r="A6" t="s">
        <v>25</v>
      </c>
      <c r="B6">
        <v>329</v>
      </c>
      <c r="C6">
        <v>0.45604020007885993</v>
      </c>
    </row>
    <row r="7" spans="1:3" x14ac:dyDescent="0.3">
      <c r="A7" t="s">
        <v>30</v>
      </c>
      <c r="B7">
        <v>144</v>
      </c>
      <c r="C7">
        <v>0.46713689970783889</v>
      </c>
    </row>
    <row r="8" spans="1:3" x14ac:dyDescent="0.3">
      <c r="A8" t="s">
        <v>33</v>
      </c>
      <c r="B8">
        <v>122</v>
      </c>
      <c r="C8">
        <v>0.47213660017587239</v>
      </c>
    </row>
    <row r="9" spans="1:3" x14ac:dyDescent="0.3">
      <c r="A9" t="s">
        <v>38</v>
      </c>
      <c r="B9">
        <v>356</v>
      </c>
      <c r="C9">
        <v>0.52519520022906363</v>
      </c>
    </row>
    <row r="10" spans="1:3" x14ac:dyDescent="0.3">
      <c r="A10" t="s">
        <v>41</v>
      </c>
      <c r="B10">
        <v>202</v>
      </c>
      <c r="C10">
        <v>0.59725530003197491</v>
      </c>
    </row>
    <row r="11" spans="1:3" x14ac:dyDescent="0.3">
      <c r="A11" t="s">
        <v>46</v>
      </c>
      <c r="B11">
        <v>283</v>
      </c>
      <c r="C11">
        <v>0.64371519978158176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2025-10-15T19:27:31Z</dcterms:created>
  <dcterms:modified xsi:type="dcterms:W3CDTF">2025-10-16T20:11:15Z</dcterms:modified>
</cp:coreProperties>
</file>