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0-2-trials\"/>
    </mc:Choice>
  </mc:AlternateContent>
  <xr:revisionPtr revIDLastSave="0" documentId="13_ncr:1_{92FF1B65-A725-4660-86BE-2B8E03698A8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2" l="1"/>
  <c r="N13" i="2"/>
  <c r="M13" i="2"/>
  <c r="L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Q13" i="2" l="1"/>
  <c r="P13" i="2"/>
</calcChain>
</file>

<file path=xl/sharedStrings.xml><?xml version="1.0" encoding="utf-8"?>
<sst xmlns="http://schemas.openxmlformats.org/spreadsheetml/2006/main" count="285" uniqueCount="162">
  <si>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</si>
  <si>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</si>
  <si>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</si>
  <si>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</si>
  <si>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</si>
  <si>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</si>
  <si>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</si>
  <si>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</si>
  <si>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</si>
  <si>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</si>
  <si>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</si>
  <si>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</si>
  <si>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</si>
  <si>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</si>
  <si>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</si>
  <si>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</si>
  <si>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</si>
  <si>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</si>
  <si>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</si>
  <si>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</si>
  <si>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</si>
  <si>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</si>
  <si>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</si>
  <si>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</si>
  <si>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</si>
  <si>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</si>
  <si>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</si>
  <si>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</si>
  <si>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</si>
  <si>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</si>
  <si>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</si>
  <si>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</si>
  <si>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</si>
  <si>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</si>
  <si>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</si>
  <si>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</si>
  <si>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</si>
  <si>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</si>
  <si>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</si>
  <si>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</si>
  <si>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</si>
  <si>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</si>
  <si>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</si>
  <si>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</si>
  <si>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</si>
  <si>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</si>
  <si>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</si>
  <si>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</si>
  <si>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</si>
  <si>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</si>
  <si>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</si>
  <si>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</si>
  <si>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</si>
  <si>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</t>
  </si>
  <si>
    <t>Assignment Line Numbers</t>
  </si>
  <si>
    <t>Lock Enforcement</t>
  </si>
  <si>
    <t>Security Sensitive Register Coverage</t>
  </si>
  <si>
    <t>p_c</t>
  </si>
  <si>
    <t>[89, 90, 91, 92, 104, 104, 106, 106, 108, 110, 110]</t>
  </si>
  <si>
    <t>Secure: All locked assignments correctly enforce and reject unauthorized writes</t>
  </si>
  <si>
    <t>Vulnerable: Assignment(s) on line [108] are not protected</t>
  </si>
  <si>
    <t>Secure: All assignments are protected</t>
  </si>
  <si>
    <t>state</t>
  </si>
  <si>
    <t>[93, 94, 95, 96, 120, 122, 122, 124, 124, 126, 126]</t>
  </si>
  <si>
    <t>Vulnerable: Assignment(s) on line [120] are not protected</t>
  </si>
  <si>
    <t>rdata</t>
  </si>
  <si>
    <t>[155, 157, 160, 160, 162, 162, 164, 164, 166, 166, 168, 168, 170, 170, 172, 172, 174, 174, 176, 176, 178, 178, None]</t>
  </si>
  <si>
    <t>Vulnerable: Assignment(s) on line [157] are not protected</t>
  </si>
  <si>
    <t>start</t>
  </si>
  <si>
    <t>[88, 102]</t>
  </si>
  <si>
    <t>Vulnerable: Assignment(s) on line [102] are not protected</t>
  </si>
  <si>
    <t>key_sel</t>
  </si>
  <si>
    <t>[144]</t>
  </si>
  <si>
    <t>Vulnerable: Assignment(s) on line [144] are not protected</t>
  </si>
  <si>
    <t>start_reg</t>
  </si>
  <si>
    <t>[120, 132]</t>
  </si>
  <si>
    <t>Vulnerable: Assignment(s) on line [132] are not protected</t>
  </si>
  <si>
    <t>done_reg</t>
  </si>
  <si>
    <t>[126, 144]</t>
  </si>
  <si>
    <t>end_reg</t>
  </si>
  <si>
    <t>[127, 148]</t>
  </si>
  <si>
    <t>Vulnerable: Assignment(s) on line [148] are not protected</t>
  </si>
  <si>
    <t>[159, 163, 165, 167, 169, 171, 173, 175, 177, 179, 181, None]</t>
  </si>
  <si>
    <t>Vulnerable: Assignment(s) on line [163, 165, 167, 169, 171, 173, 175, 177, 179, 181] are not protected</t>
  </si>
  <si>
    <t>startHash</t>
  </si>
  <si>
    <t>newMessage</t>
  </si>
  <si>
    <t>data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</si>
  <si>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</si>
  <si>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Vulnerable: Assignment(s) on line [133, 133] are not correctly enforced and allow unauthorized writes</t>
  </si>
  <si>
    <t>newMessage_r</t>
  </si>
  <si>
    <t>[87, 93]</t>
  </si>
  <si>
    <t>Vulnerable: Assignment(s) on line [93] are not protected</t>
  </si>
  <si>
    <t>startHash_r</t>
  </si>
  <si>
    <t>[86, 92]</t>
  </si>
  <si>
    <t>Vulnerable: Assignment(s) on line [92] are not protected</t>
  </si>
  <si>
    <t>key</t>
  </si>
  <si>
    <t>[54, 54]</t>
  </si>
  <si>
    <t>Vulnerable: Assignment(s) on line [54] are not protected</t>
  </si>
  <si>
    <t>okey_hash</t>
  </si>
  <si>
    <t>[56, 56]</t>
  </si>
  <si>
    <t>Vulnerable: Assignment(s) on line [56] are not protected</t>
  </si>
  <si>
    <t>init_reg_d</t>
  </si>
  <si>
    <t>[207, 212, 228]</t>
  </si>
  <si>
    <t>Vulnerable: Assignment(s) on line [212] are not protected</t>
  </si>
  <si>
    <t>next_reg_d</t>
  </si>
  <si>
    <t>[208, 213, 229]</t>
  </si>
  <si>
    <t>Vulnerable: Assignment(s) on line [213] are not protected</t>
  </si>
  <si>
    <t>key_reg0</t>
  </si>
  <si>
    <t>[262]</t>
  </si>
  <si>
    <t>Vulnerable: Assignment(s) on line [262] are not protected</t>
  </si>
  <si>
    <t>key_reg1</t>
  </si>
  <si>
    <t>[264]</t>
  </si>
  <si>
    <t>Vulnerable: Assignment(s) on line [264] are not protected</t>
  </si>
  <si>
    <t>key_reg2</t>
  </si>
  <si>
    <t>[266]</t>
  </si>
  <si>
    <t>Vulnerable: Assignment(s) on line [266] are not protected</t>
  </si>
  <si>
    <t>[94, 96, 99, 101, 103, 103, 105, 105, 107, 107, None]</t>
  </si>
  <si>
    <t>Vulnerable: Assignment(s) on line [96, 99, 101] are not protected</t>
  </si>
  <si>
    <t>acct_mem</t>
  </si>
  <si>
    <t>[90, 90, 92, 92, 94, 94, 96, 96, 98, 98, 100, 100, 102, 102, 104, 104, 106, 106, 108]</t>
  </si>
  <si>
    <t>[117, 121, 121, 123, 123, 125, 125, 127, 127, 129, 129, 131, 131, 133, 133, 135, 135, 137, 137, 139, None]</t>
  </si>
  <si>
    <t>Vulnerable: Assignment(s) on line [139] are not protected</t>
  </si>
  <si>
    <t>[152, 156, 158, 160, 162, 164, 164, 164, 166, 166, 166, 168, 168, 168, 170, 170, 170, 172, 172, 172, 174, 174, 174, 176, 176, 176, 178, 178, 178, 180, 180, 182, 182, 184, 184, 186, 186, 186, 188, 188, 188, 190, 190, 190, 192, 192, 192, 194, 194, 194, 196, 196, 196, 198, 198, 198, 200, 200, 200, 202, 202, 202, 204, 204, 204, 206, 206, 206, None]</t>
  </si>
  <si>
    <t>Vulnerable: Assignment(s) on line [156, 158, 160, 162] are not protected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</si>
  <si>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</si>
  <si>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Vulnerable: Assignment(s) on line [126, 126, 138, 138] are not correctly enforced and allow unauthorized writes</t>
  </si>
  <si>
    <t>[81, 87]</t>
  </si>
  <si>
    <t>Vulnerable: Assignment(s) on line [87] are not protected</t>
  </si>
  <si>
    <t>[80, 86]</t>
  </si>
  <si>
    <t>Vulnerable: Assignment(s) on line [86] are not protected</t>
  </si>
  <si>
    <t>[98, 122]</t>
  </si>
  <si>
    <t>Vulnerable: Assignment(s) on line [122] are not protected</t>
  </si>
  <si>
    <t>[99, 123]</t>
  </si>
  <si>
    <t>Vulnerable: Assignment(s) on line [123] are not protected</t>
  </si>
  <si>
    <t>key_big</t>
  </si>
  <si>
    <t>[198, 198, 198]</t>
  </si>
  <si>
    <t>Vulnerable: Assignment(s) on line [198, 198, 198] are not protected</t>
  </si>
  <si>
    <t>key_big0</t>
  </si>
  <si>
    <t>key_big1</t>
  </si>
  <si>
    <t>[55, 55]</t>
  </si>
  <si>
    <t>Vulnerable: Assignment(s) on line [55] are not protected</t>
  </si>
  <si>
    <t>[165, 167, 170, 172, 174, 176, 178, 180, 182, 184, 186, 188, None]</t>
  </si>
  <si>
    <t>Vulnerable: Assignment(s) on line [167, 170, 172, 174, 176, 178, 180, 182, 184, 186, 188] are not protected</t>
  </si>
  <si>
    <t>LoC</t>
  </si>
  <si>
    <t>Detection Time</t>
  </si>
  <si>
    <t>File</t>
  </si>
  <si>
    <t>Total CWE-1233 Vulnerable Registers</t>
  </si>
  <si>
    <t>TP</t>
  </si>
  <si>
    <t>FP</t>
  </si>
  <si>
    <t>FN</t>
  </si>
  <si>
    <t>Recall</t>
  </si>
  <si>
    <t>Precision</t>
  </si>
  <si>
    <t>Example 1</t>
  </si>
  <si>
    <t>Example 2</t>
  </si>
  <si>
    <t>Example 3</t>
  </si>
  <si>
    <t>Example 4</t>
  </si>
  <si>
    <t>Example 5</t>
  </si>
  <si>
    <t>Example 6</t>
  </si>
  <si>
    <t>Example 7</t>
  </si>
  <si>
    <t>Example 8</t>
  </si>
  <si>
    <t>Example 9</t>
  </si>
  <si>
    <t>Example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</si>
</sst>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"/>
  <sheetViews>
    <sheetView tabSelected="1" topLeftCell="A3" workbookViewId="0">
      <pane xSplit="1" topLeftCell="C1" activePane="topRight" state="frozen"/>
      <selection pane="topRight" activeCell="M12" sqref="M12"/>
    </sheetView>
  </sheetViews>
  <sheetFormatPr defaultRowHeight="14.4" x14ac:dyDescent="0.3"/>
  <cols>
    <col min="1" max="1" width="22.21875" style="2" customWidth="1"/>
    <col min="2" max="2" width="15.44140625" style="2" customWidth="1"/>
    <col min="3" max="3" width="16.5546875" style="2" customWidth="1"/>
    <col min="4" max="4" width="22" style="2" customWidth="1"/>
    <col min="5" max="5" width="23.109375" style="2" customWidth="1"/>
    <col min="6" max="9" width="8.88671875" style="2"/>
    <col min="10" max="10" width="10.33203125" style="2" bestFit="1" customWidth="1"/>
    <col min="11" max="11" width="10.33203125" style="2" customWidth="1"/>
    <col min="12" max="12" width="31.6640625" style="2" bestFit="1" customWidth="1"/>
    <col min="13" max="16384" width="8.88671875" style="2"/>
  </cols>
  <sheetData>
    <row r="1" spans="1:17" x14ac:dyDescent="0.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17" x14ac:dyDescent="0.3">
      <c r="A2" s="2" t="s">
        <v>5</v>
      </c>
      <c r="B2" s="2" t="s">
        <v>57</v>
      </c>
      <c r="C2" s="2" t="s">
        <v>58</v>
      </c>
      <c r="D2" s="2" t="s">
        <v>59</v>
      </c>
      <c r="E2" s="4" t="s">
        <v>60</v>
      </c>
      <c r="J2" s="3" t="s">
        <v>145</v>
      </c>
      <c r="K2" s="3"/>
      <c r="L2" s="3" t="s">
        <v>146</v>
      </c>
      <c r="M2" s="3" t="s">
        <v>147</v>
      </c>
      <c r="N2" s="3" t="s">
        <v>148</v>
      </c>
      <c r="O2" s="3" t="s">
        <v>149</v>
      </c>
      <c r="P2" s="3" t="s">
        <v>150</v>
      </c>
      <c r="Q2" s="3" t="s">
        <v>151</v>
      </c>
    </row>
    <row r="3" spans="1:17" x14ac:dyDescent="0.3">
      <c r="A3" s="2" t="s">
        <v>5</v>
      </c>
      <c r="B3" s="2" t="s">
        <v>62</v>
      </c>
      <c r="C3" s="2" t="s">
        <v>63</v>
      </c>
      <c r="D3" s="2" t="s">
        <v>59</v>
      </c>
      <c r="E3" s="4" t="s">
        <v>64</v>
      </c>
      <c r="J3" s="3" t="s">
        <v>152</v>
      </c>
      <c r="K3" s="3"/>
      <c r="L3" s="3">
        <v>10</v>
      </c>
      <c r="M3" s="3">
        <v>4</v>
      </c>
      <c r="N3" s="3">
        <v>0</v>
      </c>
      <c r="O3" s="3">
        <v>6</v>
      </c>
      <c r="P3" s="3">
        <f>M3/(M3+O3)</f>
        <v>0.4</v>
      </c>
      <c r="Q3" s="3">
        <f>M3/(M3+N3)</f>
        <v>1</v>
      </c>
    </row>
    <row r="4" spans="1:17" x14ac:dyDescent="0.3">
      <c r="A4" s="2" t="s">
        <v>5</v>
      </c>
      <c r="B4" s="2" t="s">
        <v>65</v>
      </c>
      <c r="C4" s="2" t="s">
        <v>66</v>
      </c>
      <c r="D4" s="2" t="s">
        <v>59</v>
      </c>
      <c r="E4" s="5" t="s">
        <v>67</v>
      </c>
      <c r="J4" s="3" t="s">
        <v>153</v>
      </c>
      <c r="K4" s="3"/>
      <c r="L4" s="3">
        <v>1</v>
      </c>
      <c r="M4" s="3">
        <v>1</v>
      </c>
      <c r="N4" s="3">
        <v>4</v>
      </c>
      <c r="O4" s="3">
        <v>0</v>
      </c>
      <c r="P4" s="3">
        <f>M4/(M4+O4)</f>
        <v>1</v>
      </c>
      <c r="Q4" s="3">
        <f t="shared" ref="Q4:Q13" si="0">M4/(M4+N4)</f>
        <v>0.2</v>
      </c>
    </row>
    <row r="5" spans="1:17" x14ac:dyDescent="0.3">
      <c r="A5" s="2" t="s">
        <v>5</v>
      </c>
      <c r="B5" s="2" t="s">
        <v>68</v>
      </c>
      <c r="C5" s="2" t="s">
        <v>69</v>
      </c>
      <c r="D5" s="2" t="s">
        <v>59</v>
      </c>
      <c r="E5" s="4" t="s">
        <v>70</v>
      </c>
      <c r="J5" s="3" t="s">
        <v>154</v>
      </c>
      <c r="K5" s="3"/>
      <c r="L5" s="3">
        <v>4</v>
      </c>
      <c r="M5" s="3">
        <v>3</v>
      </c>
      <c r="N5" s="3">
        <v>2</v>
      </c>
      <c r="O5" s="3">
        <v>1</v>
      </c>
      <c r="P5" s="3">
        <f t="shared" ref="P5:P12" si="1">M5/(M5+O5)</f>
        <v>0.75</v>
      </c>
      <c r="Q5" s="3">
        <f t="shared" si="0"/>
        <v>0.6</v>
      </c>
    </row>
    <row r="6" spans="1:17" x14ac:dyDescent="0.3">
      <c r="A6" s="2" t="s">
        <v>5</v>
      </c>
      <c r="B6" s="2" t="s">
        <v>71</v>
      </c>
      <c r="C6" s="2" t="s">
        <v>72</v>
      </c>
      <c r="D6" s="2" t="s">
        <v>59</v>
      </c>
      <c r="E6" s="4" t="s">
        <v>73</v>
      </c>
      <c r="J6" s="3" t="s">
        <v>155</v>
      </c>
      <c r="K6" s="3"/>
      <c r="L6" s="3">
        <v>3</v>
      </c>
      <c r="M6" s="3">
        <v>1</v>
      </c>
      <c r="N6" s="3">
        <v>0</v>
      </c>
      <c r="O6" s="3">
        <v>2</v>
      </c>
      <c r="P6" s="3">
        <f t="shared" si="1"/>
        <v>0.33333333333333331</v>
      </c>
      <c r="Q6" s="3">
        <f t="shared" si="0"/>
        <v>1</v>
      </c>
    </row>
    <row r="7" spans="1:17" x14ac:dyDescent="0.3">
      <c r="A7" s="2" t="s">
        <v>11</v>
      </c>
      <c r="B7" s="2" t="s">
        <v>74</v>
      </c>
      <c r="C7" s="2" t="s">
        <v>75</v>
      </c>
      <c r="D7" s="2" t="s">
        <v>59</v>
      </c>
      <c r="E7" s="4" t="s">
        <v>76</v>
      </c>
      <c r="J7" s="3" t="s">
        <v>156</v>
      </c>
      <c r="K7" s="3"/>
      <c r="L7" s="3">
        <v>2</v>
      </c>
      <c r="M7" s="3">
        <v>2</v>
      </c>
      <c r="N7" s="3">
        <v>0</v>
      </c>
      <c r="O7" s="3">
        <v>0</v>
      </c>
      <c r="P7" s="3">
        <f t="shared" si="1"/>
        <v>1</v>
      </c>
      <c r="Q7" s="3">
        <f t="shared" si="0"/>
        <v>1</v>
      </c>
    </row>
    <row r="8" spans="1:17" x14ac:dyDescent="0.3">
      <c r="A8" s="2" t="s">
        <v>11</v>
      </c>
      <c r="B8" s="2" t="s">
        <v>77</v>
      </c>
      <c r="C8" s="2" t="s">
        <v>78</v>
      </c>
      <c r="D8" s="2" t="s">
        <v>59</v>
      </c>
      <c r="E8" s="4" t="s">
        <v>73</v>
      </c>
      <c r="J8" s="3" t="s">
        <v>157</v>
      </c>
      <c r="K8" s="3"/>
      <c r="L8" s="3">
        <v>1</v>
      </c>
      <c r="M8" s="3">
        <v>1</v>
      </c>
      <c r="N8" s="3">
        <v>0</v>
      </c>
      <c r="O8" s="3">
        <v>0</v>
      </c>
      <c r="P8" s="3">
        <f t="shared" si="1"/>
        <v>1</v>
      </c>
      <c r="Q8" s="3">
        <f t="shared" si="0"/>
        <v>1</v>
      </c>
    </row>
    <row r="9" spans="1:17" x14ac:dyDescent="0.3">
      <c r="A9" s="2" t="s">
        <v>11</v>
      </c>
      <c r="B9" s="2" t="s">
        <v>79</v>
      </c>
      <c r="C9" s="2" t="s">
        <v>80</v>
      </c>
      <c r="D9" s="2" t="s">
        <v>59</v>
      </c>
      <c r="E9" s="4" t="s">
        <v>81</v>
      </c>
      <c r="J9" s="3" t="s">
        <v>158</v>
      </c>
      <c r="K9" s="3"/>
      <c r="L9" s="3">
        <v>1</v>
      </c>
      <c r="M9" s="3">
        <v>0</v>
      </c>
      <c r="N9" s="3">
        <v>0</v>
      </c>
      <c r="O9" s="3">
        <v>1</v>
      </c>
      <c r="P9" s="3">
        <f t="shared" si="1"/>
        <v>0</v>
      </c>
      <c r="Q9" s="3" t="e">
        <f t="shared" si="0"/>
        <v>#DIV/0!</v>
      </c>
    </row>
    <row r="10" spans="1:17" x14ac:dyDescent="0.3">
      <c r="A10" s="2" t="s">
        <v>11</v>
      </c>
      <c r="B10" s="2" t="s">
        <v>65</v>
      </c>
      <c r="C10" s="2" t="s">
        <v>82</v>
      </c>
      <c r="D10" s="2" t="s">
        <v>59</v>
      </c>
      <c r="E10" s="4" t="s">
        <v>83</v>
      </c>
      <c r="J10" s="3" t="s">
        <v>159</v>
      </c>
      <c r="K10" s="3"/>
      <c r="L10" s="3">
        <v>3</v>
      </c>
      <c r="M10" s="3">
        <v>3</v>
      </c>
      <c r="N10" s="3">
        <v>2</v>
      </c>
      <c r="O10" s="3">
        <v>0</v>
      </c>
      <c r="P10" s="3">
        <f t="shared" si="1"/>
        <v>1</v>
      </c>
      <c r="Q10" s="3">
        <f t="shared" si="0"/>
        <v>0.6</v>
      </c>
    </row>
    <row r="11" spans="1:17" x14ac:dyDescent="0.3">
      <c r="A11" s="2" t="s">
        <v>16</v>
      </c>
      <c r="B11" s="2" t="s">
        <v>86</v>
      </c>
      <c r="C11" s="2" t="s">
        <v>87</v>
      </c>
      <c r="D11" s="4" t="s">
        <v>88</v>
      </c>
      <c r="E11" s="2" t="s">
        <v>61</v>
      </c>
      <c r="J11" s="3" t="s">
        <v>160</v>
      </c>
      <c r="K11" s="3"/>
      <c r="L11" s="3">
        <v>1</v>
      </c>
      <c r="M11" s="3">
        <v>1</v>
      </c>
      <c r="N11" s="3">
        <v>3</v>
      </c>
      <c r="O11" s="3">
        <v>0</v>
      </c>
      <c r="P11" s="3">
        <f t="shared" si="1"/>
        <v>1</v>
      </c>
      <c r="Q11" s="3">
        <f t="shared" si="0"/>
        <v>0.25</v>
      </c>
    </row>
    <row r="12" spans="1:17" x14ac:dyDescent="0.3">
      <c r="A12" s="2" t="s">
        <v>16</v>
      </c>
      <c r="B12" s="2" t="s">
        <v>89</v>
      </c>
      <c r="C12" s="2" t="s">
        <v>90</v>
      </c>
      <c r="D12" s="2" t="s">
        <v>59</v>
      </c>
      <c r="E12" s="5" t="s">
        <v>91</v>
      </c>
      <c r="J12" s="3" t="s">
        <v>161</v>
      </c>
      <c r="K12" s="3"/>
      <c r="L12" s="3">
        <v>4</v>
      </c>
      <c r="M12" s="3">
        <v>4</v>
      </c>
      <c r="N12" s="3">
        <v>1</v>
      </c>
      <c r="O12" s="3">
        <v>0</v>
      </c>
      <c r="P12" s="3">
        <f t="shared" si="1"/>
        <v>1</v>
      </c>
      <c r="Q12" s="3">
        <f t="shared" si="0"/>
        <v>0.8</v>
      </c>
    </row>
    <row r="13" spans="1:17" x14ac:dyDescent="0.3">
      <c r="A13" s="2" t="s">
        <v>16</v>
      </c>
      <c r="B13" s="2" t="s">
        <v>92</v>
      </c>
      <c r="C13" s="2" t="s">
        <v>93</v>
      </c>
      <c r="D13" s="2" t="s">
        <v>59</v>
      </c>
      <c r="E13" s="5" t="s">
        <v>94</v>
      </c>
      <c r="J13" s="3" t="s">
        <v>50</v>
      </c>
      <c r="K13" s="3"/>
      <c r="L13" s="3">
        <f>SUM(L3:L12)</f>
        <v>30</v>
      </c>
      <c r="M13" s="3">
        <f>SUM(M3:M12)</f>
        <v>20</v>
      </c>
      <c r="N13" s="3">
        <f t="shared" ref="N13:O13" si="2">SUM(N3:N12)</f>
        <v>12</v>
      </c>
      <c r="O13" s="3">
        <f t="shared" si="2"/>
        <v>10</v>
      </c>
      <c r="P13" s="3">
        <f>M13/(M13+O13)</f>
        <v>0.66666666666666663</v>
      </c>
      <c r="Q13" s="3">
        <f t="shared" si="0"/>
        <v>0.625</v>
      </c>
    </row>
    <row r="14" spans="1:17" x14ac:dyDescent="0.3">
      <c r="A14" s="2" t="s">
        <v>16</v>
      </c>
      <c r="B14" s="2" t="s">
        <v>95</v>
      </c>
      <c r="C14" s="2" t="s">
        <v>96</v>
      </c>
      <c r="D14" s="2" t="s">
        <v>59</v>
      </c>
      <c r="E14" s="5" t="s">
        <v>97</v>
      </c>
    </row>
    <row r="15" spans="1:17" x14ac:dyDescent="0.3">
      <c r="A15" s="2" t="s">
        <v>16</v>
      </c>
      <c r="B15" s="2" t="s">
        <v>98</v>
      </c>
      <c r="C15" s="2" t="s">
        <v>99</v>
      </c>
      <c r="D15" s="2" t="s">
        <v>59</v>
      </c>
      <c r="E15" s="5" t="s">
        <v>100</v>
      </c>
    </row>
    <row r="16" spans="1:17" x14ac:dyDescent="0.3">
      <c r="A16" s="2" t="s">
        <v>21</v>
      </c>
      <c r="B16" s="2" t="s">
        <v>101</v>
      </c>
      <c r="C16" s="2" t="s">
        <v>102</v>
      </c>
      <c r="D16" s="2" t="s">
        <v>59</v>
      </c>
      <c r="E16" s="5" t="s">
        <v>103</v>
      </c>
    </row>
    <row r="17" spans="1:5" x14ac:dyDescent="0.3">
      <c r="A17" s="2" t="s">
        <v>21</v>
      </c>
      <c r="B17" s="2" t="s">
        <v>104</v>
      </c>
      <c r="C17" s="2" t="s">
        <v>105</v>
      </c>
      <c r="D17" s="2" t="s">
        <v>59</v>
      </c>
      <c r="E17" s="5" t="s">
        <v>106</v>
      </c>
    </row>
    <row r="18" spans="1:5" x14ac:dyDescent="0.3">
      <c r="A18" s="2" t="s">
        <v>21</v>
      </c>
      <c r="B18" s="2" t="s">
        <v>107</v>
      </c>
      <c r="C18" s="2" t="s">
        <v>108</v>
      </c>
      <c r="D18" s="2" t="s">
        <v>59</v>
      </c>
      <c r="E18" s="4" t="s">
        <v>109</v>
      </c>
    </row>
    <row r="19" spans="1:5" x14ac:dyDescent="0.3">
      <c r="A19" s="2" t="s">
        <v>21</v>
      </c>
      <c r="B19" s="2" t="s">
        <v>110</v>
      </c>
      <c r="C19" s="2" t="s">
        <v>111</v>
      </c>
      <c r="D19" s="2" t="s">
        <v>59</v>
      </c>
      <c r="E19" s="4" t="s">
        <v>112</v>
      </c>
    </row>
    <row r="20" spans="1:5" x14ac:dyDescent="0.3">
      <c r="A20" s="2" t="s">
        <v>21</v>
      </c>
      <c r="B20" s="2" t="s">
        <v>113</v>
      </c>
      <c r="C20" s="2" t="s">
        <v>114</v>
      </c>
      <c r="D20" s="2" t="s">
        <v>59</v>
      </c>
      <c r="E20" s="4" t="s">
        <v>115</v>
      </c>
    </row>
    <row r="21" spans="1:5" x14ac:dyDescent="0.3">
      <c r="A21" s="2" t="s">
        <v>26</v>
      </c>
      <c r="B21" s="2" t="s">
        <v>65</v>
      </c>
      <c r="C21" s="2" t="s">
        <v>116</v>
      </c>
      <c r="D21" s="2" t="s">
        <v>59</v>
      </c>
      <c r="E21" s="4" t="s">
        <v>117</v>
      </c>
    </row>
    <row r="22" spans="1:5" x14ac:dyDescent="0.3">
      <c r="A22" s="2" t="s">
        <v>31</v>
      </c>
      <c r="B22" s="2" t="s">
        <v>118</v>
      </c>
      <c r="C22" s="2" t="s">
        <v>119</v>
      </c>
      <c r="D22" s="2" t="s">
        <v>59</v>
      </c>
      <c r="E22" s="4" t="s">
        <v>60</v>
      </c>
    </row>
    <row r="23" spans="1:5" x14ac:dyDescent="0.3">
      <c r="A23" s="2" t="s">
        <v>31</v>
      </c>
      <c r="B23" s="2" t="s">
        <v>65</v>
      </c>
      <c r="C23" s="2" t="s">
        <v>120</v>
      </c>
      <c r="D23" s="2" t="s">
        <v>59</v>
      </c>
      <c r="E23" s="4" t="s">
        <v>121</v>
      </c>
    </row>
    <row r="24" spans="1:5" x14ac:dyDescent="0.3">
      <c r="A24" s="2" t="s">
        <v>32</v>
      </c>
      <c r="B24" s="2" t="s">
        <v>65</v>
      </c>
      <c r="C24" s="2" t="s">
        <v>122</v>
      </c>
      <c r="D24" s="2" t="s">
        <v>59</v>
      </c>
      <c r="E24" s="4" t="s">
        <v>123</v>
      </c>
    </row>
    <row r="25" spans="1:5" x14ac:dyDescent="0.3">
      <c r="A25" s="2" t="s">
        <v>42</v>
      </c>
      <c r="B25" s="2" t="s">
        <v>86</v>
      </c>
      <c r="C25" s="2" t="s">
        <v>124</v>
      </c>
      <c r="D25" s="4" t="s">
        <v>125</v>
      </c>
      <c r="E25" s="2" t="s">
        <v>61</v>
      </c>
    </row>
    <row r="26" spans="1:5" x14ac:dyDescent="0.3">
      <c r="A26" s="2" t="s">
        <v>42</v>
      </c>
      <c r="B26" s="2" t="s">
        <v>89</v>
      </c>
      <c r="C26" s="2" t="s">
        <v>126</v>
      </c>
      <c r="D26" s="2" t="s">
        <v>59</v>
      </c>
      <c r="E26" s="5" t="s">
        <v>127</v>
      </c>
    </row>
    <row r="27" spans="1:5" x14ac:dyDescent="0.3">
      <c r="A27" s="2" t="s">
        <v>42</v>
      </c>
      <c r="B27" s="2" t="s">
        <v>92</v>
      </c>
      <c r="C27" s="2" t="s">
        <v>128</v>
      </c>
      <c r="D27" s="2" t="s">
        <v>59</v>
      </c>
      <c r="E27" s="5" t="s">
        <v>129</v>
      </c>
    </row>
    <row r="28" spans="1:5" x14ac:dyDescent="0.3">
      <c r="A28" s="2" t="s">
        <v>42</v>
      </c>
      <c r="B28" s="2" t="s">
        <v>84</v>
      </c>
      <c r="C28" s="2" t="s">
        <v>130</v>
      </c>
      <c r="D28" s="2" t="s">
        <v>59</v>
      </c>
      <c r="E28" s="4" t="s">
        <v>131</v>
      </c>
    </row>
    <row r="29" spans="1:5" x14ac:dyDescent="0.3">
      <c r="A29" s="2" t="s">
        <v>42</v>
      </c>
      <c r="B29" s="2" t="s">
        <v>85</v>
      </c>
      <c r="C29" s="2" t="s">
        <v>132</v>
      </c>
      <c r="D29" s="2" t="s">
        <v>59</v>
      </c>
      <c r="E29" s="4" t="s">
        <v>133</v>
      </c>
    </row>
    <row r="30" spans="1:5" x14ac:dyDescent="0.3">
      <c r="A30" s="2" t="s">
        <v>45</v>
      </c>
      <c r="B30" s="2" t="s">
        <v>134</v>
      </c>
      <c r="C30" s="2" t="s">
        <v>135</v>
      </c>
      <c r="D30" s="2" t="s">
        <v>59</v>
      </c>
      <c r="E30" s="5" t="s">
        <v>136</v>
      </c>
    </row>
    <row r="31" spans="1:5" x14ac:dyDescent="0.3">
      <c r="A31" s="2" t="s">
        <v>45</v>
      </c>
      <c r="B31" s="2" t="s">
        <v>137</v>
      </c>
      <c r="C31" s="2" t="s">
        <v>96</v>
      </c>
      <c r="D31" s="2" t="s">
        <v>59</v>
      </c>
      <c r="E31" s="5" t="s">
        <v>97</v>
      </c>
    </row>
    <row r="32" spans="1:5" x14ac:dyDescent="0.3">
      <c r="A32" s="2" t="s">
        <v>45</v>
      </c>
      <c r="B32" s="2" t="s">
        <v>138</v>
      </c>
      <c r="C32" s="2" t="s">
        <v>139</v>
      </c>
      <c r="D32" s="2" t="s">
        <v>59</v>
      </c>
      <c r="E32" s="5" t="s">
        <v>140</v>
      </c>
    </row>
    <row r="33" spans="1:5" x14ac:dyDescent="0.3">
      <c r="A33" s="2" t="s">
        <v>45</v>
      </c>
      <c r="B33" s="2" t="s">
        <v>65</v>
      </c>
      <c r="C33" s="2" t="s">
        <v>141</v>
      </c>
      <c r="D33" s="2" t="s">
        <v>59</v>
      </c>
      <c r="E33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143</v>
      </c>
      <c r="C1" s="1" t="s">
        <v>144</v>
      </c>
    </row>
    <row r="2" spans="1:3" x14ac:dyDescent="0.3">
      <c r="A2" t="s">
        <v>5</v>
      </c>
      <c r="B2">
        <v>201</v>
      </c>
      <c r="C2">
        <v>1.611789999878965E-2</v>
      </c>
    </row>
    <row r="3" spans="1:3" x14ac:dyDescent="0.3">
      <c r="A3" t="s">
        <v>11</v>
      </c>
      <c r="B3">
        <v>199</v>
      </c>
      <c r="C3">
        <v>1.6104700014693659E-2</v>
      </c>
    </row>
    <row r="4" spans="1:3" x14ac:dyDescent="0.3">
      <c r="A4" t="s">
        <v>16</v>
      </c>
      <c r="B4">
        <v>329</v>
      </c>
      <c r="C4">
        <v>3.2725600001867861E-2</v>
      </c>
    </row>
    <row r="5" spans="1:3" x14ac:dyDescent="0.3">
      <c r="A5" t="s">
        <v>21</v>
      </c>
      <c r="B5">
        <v>283</v>
      </c>
      <c r="C5">
        <v>4.1222899992135353E-2</v>
      </c>
    </row>
    <row r="6" spans="1:3" x14ac:dyDescent="0.3">
      <c r="A6" t="s">
        <v>26</v>
      </c>
      <c r="B6">
        <v>121</v>
      </c>
      <c r="C6">
        <v>3.7058599991723902E-2</v>
      </c>
    </row>
    <row r="7" spans="1:3" x14ac:dyDescent="0.3">
      <c r="A7" t="s">
        <v>31</v>
      </c>
      <c r="B7">
        <v>144</v>
      </c>
      <c r="C7">
        <v>4.3198399973334738E-2</v>
      </c>
    </row>
    <row r="8" spans="1:3" x14ac:dyDescent="0.3">
      <c r="A8" t="s">
        <v>32</v>
      </c>
      <c r="B8">
        <v>245</v>
      </c>
      <c r="C8">
        <v>5.2741399995284162E-2</v>
      </c>
    </row>
    <row r="9" spans="1:3" x14ac:dyDescent="0.3">
      <c r="A9" t="s">
        <v>37</v>
      </c>
      <c r="B9">
        <v>509</v>
      </c>
      <c r="C9">
        <v>8.9449199993396178E-2</v>
      </c>
    </row>
    <row r="10" spans="1:3" x14ac:dyDescent="0.3">
      <c r="A10" t="s">
        <v>42</v>
      </c>
      <c r="B10">
        <v>240</v>
      </c>
      <c r="C10">
        <v>9.6833899995544925E-2</v>
      </c>
    </row>
    <row r="11" spans="1:3" x14ac:dyDescent="0.3">
      <c r="A11" t="s">
        <v>45</v>
      </c>
      <c r="B11">
        <v>210</v>
      </c>
      <c r="C11">
        <v>0.1069914999825414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2025-10-02T18:20:24Z</dcterms:created>
  <dcterms:modified xsi:type="dcterms:W3CDTF">2025-10-02T21:02:25Z</dcterms:modified>
</cp:coreProperties>
</file>