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10-2-trials\"/>
    </mc:Choice>
  </mc:AlternateContent>
  <xr:revisionPtr revIDLastSave="0" documentId="13_ncr:1_{9334BE21-84C9-4A12-9175-51A94850883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WE 1245 Results" sheetId="1" r:id="rId1"/>
    <sheet name="CWE 1233 Results" sheetId="2" r:id="rId2"/>
    <sheet name="Detection Statistic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2" l="1"/>
  <c r="N13" i="2"/>
  <c r="L13" i="2"/>
  <c r="M13" i="2"/>
  <c r="K13" i="2"/>
  <c r="J13" i="2"/>
  <c r="O4" i="2"/>
  <c r="O5" i="2"/>
  <c r="O6" i="2"/>
  <c r="O7" i="2"/>
  <c r="O8" i="2"/>
  <c r="O9" i="2"/>
  <c r="O10" i="2"/>
  <c r="O11" i="2"/>
  <c r="O12" i="2"/>
  <c r="O3" i="2"/>
  <c r="N5" i="2"/>
  <c r="N6" i="2"/>
  <c r="N7" i="2"/>
  <c r="N8" i="2"/>
  <c r="N9" i="2"/>
  <c r="N10" i="2"/>
  <c r="N11" i="2"/>
  <c r="N12" i="2"/>
  <c r="N4" i="2"/>
  <c r="N3" i="2"/>
</calcChain>
</file>

<file path=xl/sharedStrings.xml><?xml version="1.0" encoding="utf-8"?>
<sst xmlns="http://schemas.openxmlformats.org/spreadsheetml/2006/main" count="255" uniqueCount="147">
  <si>
    <t>File Name</t>
  </si>
  <si>
    <t>Case Number</t>
  </si>
  <si>
    <t>State Coverage</t>
  </si>
  <si>
    <t>Unreachable States</t>
  </si>
  <si>
    <t>Deadlocks</t>
  </si>
  <si>
    <t>CWE_1233_example_10_vulnerable_parsed.json</t>
  </si>
  <si>
    <t>Secure: Default state covers rest of possible values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</si>
  <si>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</si>
  <si>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</si>
  <si>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</si>
  <si>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</si>
  <si>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CWE_1233_example_1_vulnerable_parsed.json</t>
  </si>
  <si>
    <t>Inconclusive: [0, 1, 2, 3, 4, 5, 6, 7, 8] state(s) may not be reachable, but state variable is mapped to axi_lite_interface; transitions may be externally controlled and not visible in this scope</t>
  </si>
  <si>
    <t>Inconclusive: Possible deadlock(s) in [1, 3, 5, 7, 'default'] state(s), but state variable is mapped to axi_lite_interface; transitions may be externally controlled and not visible in this scope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</si>
  <si>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</si>
  <si>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</si>
  <si>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CWE_1233_example_2_vulnerable_parsed.json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</si>
  <si>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</si>
  <si>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</si>
  <si>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</si>
  <si>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</si>
  <si>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CWE_1233_example_3_vulnerable_parsed.json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</si>
  <si>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</si>
  <si>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</si>
  <si>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</si>
  <si>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</si>
  <si>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CWE_1233_example_4_vulnerable_parsed.json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</si>
  <si>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</si>
  <si>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</si>
  <si>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</si>
  <si>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</si>
  <si>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CWE_1233_example_5_vulnerable_parsed.json</t>
  </si>
  <si>
    <t>CWE_1233_example_6_vulnerable_parsed.json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</si>
  <si>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</si>
  <si>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</si>
  <si>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</si>
  <si>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</si>
  <si>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CWE_1233_example_7_vulnerable_parsed.json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</si>
  <si>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</si>
  <si>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</si>
  <si>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</si>
  <si>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</si>
  <si>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CWE_1233_example_8_vulnerable_parsed.json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</si>
  <si>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</si>
  <si>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</si>
  <si>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CWE_1233_example_9_vulnerable_parsed.json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</si>
  <si>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</si>
  <si>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</si>
  <si>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</si>
  <si>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</si>
  <si>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</si>
  <si>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20, 'Vulnerable': 0, 'Inconclusive': 0}</t>
  </si>
  <si>
    <t>{'Secure': 0, 'Vulnerable': 0, 'Inconclusive': 20}</t>
  </si>
  <si>
    <t>Security Sensitive Register</t>
  </si>
  <si>
    <t>Assignment Line Numbers</t>
  </si>
  <si>
    <t>Lock Enforcement</t>
  </si>
  <si>
    <t>Security Sensitive Register Coverage</t>
  </si>
  <si>
    <t>p_c</t>
  </si>
  <si>
    <t>[89, 90, 91, 92, 104, 104, 106, 106, 108, 110, 110]</t>
  </si>
  <si>
    <t>Secure: All locked assignments correctly enforce and reject unauthorized writes</t>
  </si>
  <si>
    <t>Vulnerable: Assignment(s) on line [108] are not protected</t>
  </si>
  <si>
    <t>Secure: All assignments are protected</t>
  </si>
  <si>
    <t>state</t>
  </si>
  <si>
    <t>[93, 94, 95, 96, 120, 122, 122, 124, 124, 126, 126]</t>
  </si>
  <si>
    <t>Vulnerable: Assignment(s) on line [120] are not protected</t>
  </si>
  <si>
    <t>rdata</t>
  </si>
  <si>
    <t>[155, 157, 160, 160, 162, 162, 164, 164, 166, 166, 168, 168, 170, 170, 172, 172, 174, 174, 176, 176, 178, 178, None]</t>
  </si>
  <si>
    <t>Vulnerable: Assignment(s) on line [157] are not protected</t>
  </si>
  <si>
    <t>start</t>
  </si>
  <si>
    <t>[88, 102]</t>
  </si>
  <si>
    <t>Vulnerable: Assignment(s) on line [102] are not protected</t>
  </si>
  <si>
    <t>key_sel</t>
  </si>
  <si>
    <t>[144]</t>
  </si>
  <si>
    <t>Vulnerable: Assignment(s) on line [144] are not protected</t>
  </si>
  <si>
    <t>end_reg</t>
  </si>
  <si>
    <t>[127, 148]</t>
  </si>
  <si>
    <t>Vulnerable: Assignment(s) on line [148] are not protected</t>
  </si>
  <si>
    <t>[159, 163, 165, 167, 169, 171, 173, 175, 177, 179, 181, None]</t>
  </si>
  <si>
    <t>Vulnerable: Assignment(s) on line [163, 165, 167, 169, 171, 173, 175, 177, 179, 181] are not protected</t>
  </si>
  <si>
    <t>startHash</t>
  </si>
  <si>
    <t>newMessage</t>
  </si>
  <si>
    <t>data</t>
  </si>
  <si>
    <t>[106, 107, 108, 109, 110, 111, 112, 113, 114, 115, 116, 117, 118, 119, 120, 121, 133, 133, 135, 135, 137, 137, 139, 139, 141, 141, 143, 143, 145, 145, 147, 147, 149, 149, 151, 151, 153, 153, 155, 155, 157, 157, 159, 159, 161, 161, 163, 163]</t>
  </si>
  <si>
    <t>Vulnerable: Assignment(s) on line [133, 133] are not correctly enforced and allow unauthorized writes</t>
  </si>
  <si>
    <t>newMessage_r</t>
  </si>
  <si>
    <t>[87, 93]</t>
  </si>
  <si>
    <t>Vulnerable: Assignment(s) on line [93] are not protected</t>
  </si>
  <si>
    <t>startHash_r</t>
  </si>
  <si>
    <t>[86, 92]</t>
  </si>
  <si>
    <t>Vulnerable: Assignment(s) on line [92] are not protected</t>
  </si>
  <si>
    <t>key</t>
  </si>
  <si>
    <t>[54, 54]</t>
  </si>
  <si>
    <t>Vulnerable: Assignment(s) on line [54] are not protected</t>
  </si>
  <si>
    <t>init_reg_d</t>
  </si>
  <si>
    <t>[207, 212, 228]</t>
  </si>
  <si>
    <t>Vulnerable: Assignment(s) on line [212] are not protected</t>
  </si>
  <si>
    <t>next_reg_d</t>
  </si>
  <si>
    <t>[208, 213, 229]</t>
  </si>
  <si>
    <t>Vulnerable: Assignment(s) on line [213] are not protected</t>
  </si>
  <si>
    <t>key_reg0</t>
  </si>
  <si>
    <t>[262]</t>
  </si>
  <si>
    <t>Vulnerable: Assignment(s) on line [262] are not protected</t>
  </si>
  <si>
    <t>key_reg1</t>
  </si>
  <si>
    <t>[264]</t>
  </si>
  <si>
    <t>Vulnerable: Assignment(s) on line [264] are not protected</t>
  </si>
  <si>
    <t>key_reg2</t>
  </si>
  <si>
    <t>[266]</t>
  </si>
  <si>
    <t>Vulnerable: Assignment(s) on line [266] are not protected</t>
  </si>
  <si>
    <t>[94, 96, 99, 101, 103, 103, 105, 105, 107, 107, None]</t>
  </si>
  <si>
    <t>Vulnerable: Assignment(s) on line [96, 99, 101] are not protected</t>
  </si>
  <si>
    <t>acct_mem</t>
  </si>
  <si>
    <t>[90, 90, 92, 92, 94, 94, 96, 96, 98, 98, 100, 100, 102, 102, 104, 104, 106, 106, 108]</t>
  </si>
  <si>
    <t>[117, 121, 121, 123, 123, 125, 125, 127, 127, 129, 129, 131, 131, 133, 133, 135, 135, 137, 137, 139, None]</t>
  </si>
  <si>
    <t>Vulnerable: Assignment(s) on line [139] are not protected</t>
  </si>
  <si>
    <t>[152, 156, 158, 160, 162, 164, 164, 164, 166, 166, 166, 168, 168, 168, 170, 170, 170, 172, 172, 172, 174, 174, 174, 176, 176, 176, 178, 178, 178, 180, 180, 182, 182, 184, 184, 186, 186, 186, 188, 188, 188, 190, 190, 190, 192, 192, 192, 194, 194, 194, 196, 196, 196, 198, 198, 198, 200, 200, 200, 202, 202, 202, 204, 204, 204, 206, 206, 206, None]</t>
  </si>
  <si>
    <t>Vulnerable: Assignment(s) on line [156, 158, 160, 162] are not protected</t>
  </si>
  <si>
    <t>[100, 101, 102, 103, 104, 105, 106, 107, 108, 109, 110, 111, 112, 113, 114, 115, 126, 126, 128, 128, 130, 130, 132, 132, 134, 134, 136, 136, 138, 138, 140, 140, 142, 142, 144, 144, 146, 146, 148, 148, 150, 150, 152, 152, 154, 154, 156, 156]</t>
  </si>
  <si>
    <t>Vulnerable: Assignment(s) on line [126, 126, 138, 138] are not correctly enforced and allow unauthorized writes</t>
  </si>
  <si>
    <t>[81, 87]</t>
  </si>
  <si>
    <t>Vulnerable: Assignment(s) on line [87] are not protected</t>
  </si>
  <si>
    <t>[80, 86]</t>
  </si>
  <si>
    <t>Vulnerable: Assignment(s) on line [86] are not protected</t>
  </si>
  <si>
    <t>[98, 122]</t>
  </si>
  <si>
    <t>Vulnerable: Assignment(s) on line [122] are not protected</t>
  </si>
  <si>
    <t>[99, 123]</t>
  </si>
  <si>
    <t>Vulnerable: Assignment(s) on line [123] are not protected</t>
  </si>
  <si>
    <t>[165, 167, 170, 172, 174, 176, 178, 180, 182, 184, 186, 188, None]</t>
  </si>
  <si>
    <t>Vulnerable: Assignment(s) on line [167, 170, 172, 174, 176, 178, 180, 182, 184, 186, 188] are not protected</t>
  </si>
  <si>
    <t>LoC</t>
  </si>
  <si>
    <t>Detection Time</t>
  </si>
  <si>
    <t>File</t>
  </si>
  <si>
    <t>Total CWE-1233 Vulnerable Registers</t>
  </si>
  <si>
    <t>Example 1</t>
  </si>
  <si>
    <t>Example 2</t>
  </si>
  <si>
    <t>Example 3</t>
  </si>
  <si>
    <t>Example 4</t>
  </si>
  <si>
    <t>Example 5</t>
  </si>
  <si>
    <t>Example 6</t>
  </si>
  <si>
    <t>Example 7</t>
  </si>
  <si>
    <t>Example 8</t>
  </si>
  <si>
    <t>Example 9</t>
  </si>
  <si>
    <t>Example 10</t>
  </si>
  <si>
    <t>TP</t>
  </si>
  <si>
    <t>FP</t>
  </si>
  <si>
    <t>FN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</si>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</sst>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6</v>
      </c>
      <c r="D3" t="s">
        <v>9</v>
      </c>
      <c r="E3" t="s">
        <v>10</v>
      </c>
    </row>
    <row r="4" spans="1:5" x14ac:dyDescent="0.3">
      <c r="A4" t="s">
        <v>11</v>
      </c>
      <c r="B4">
        <v>1</v>
      </c>
      <c r="C4" t="s">
        <v>6</v>
      </c>
      <c r="D4" t="s">
        <v>12</v>
      </c>
      <c r="E4" t="s">
        <v>13</v>
      </c>
    </row>
    <row r="5" spans="1:5" x14ac:dyDescent="0.3">
      <c r="A5" t="s">
        <v>11</v>
      </c>
      <c r="B5">
        <v>2</v>
      </c>
      <c r="C5" t="s">
        <v>6</v>
      </c>
      <c r="D5" t="s">
        <v>14</v>
      </c>
      <c r="E5" t="s">
        <v>15</v>
      </c>
    </row>
    <row r="6" spans="1:5" x14ac:dyDescent="0.3">
      <c r="A6" t="s">
        <v>16</v>
      </c>
      <c r="B6">
        <v>1</v>
      </c>
      <c r="C6" t="s">
        <v>6</v>
      </c>
      <c r="D6" t="s">
        <v>17</v>
      </c>
      <c r="E6" t="s">
        <v>18</v>
      </c>
    </row>
    <row r="7" spans="1:5" x14ac:dyDescent="0.3">
      <c r="A7" t="s">
        <v>16</v>
      </c>
      <c r="B7">
        <v>2</v>
      </c>
      <c r="C7" t="s">
        <v>6</v>
      </c>
      <c r="D7" t="s">
        <v>19</v>
      </c>
      <c r="E7" t="s">
        <v>20</v>
      </c>
    </row>
    <row r="8" spans="1:5" x14ac:dyDescent="0.3">
      <c r="A8" t="s">
        <v>21</v>
      </c>
      <c r="B8">
        <v>1</v>
      </c>
      <c r="C8" t="s">
        <v>6</v>
      </c>
      <c r="D8" t="s">
        <v>22</v>
      </c>
      <c r="E8" t="s">
        <v>23</v>
      </c>
    </row>
    <row r="9" spans="1:5" x14ac:dyDescent="0.3">
      <c r="A9" t="s">
        <v>21</v>
      </c>
      <c r="B9">
        <v>2</v>
      </c>
      <c r="C9" t="s">
        <v>6</v>
      </c>
      <c r="D9" t="s">
        <v>24</v>
      </c>
      <c r="E9" t="s">
        <v>25</v>
      </c>
    </row>
    <row r="10" spans="1:5" x14ac:dyDescent="0.3">
      <c r="A10" t="s">
        <v>26</v>
      </c>
      <c r="B10">
        <v>1</v>
      </c>
      <c r="C10" t="s">
        <v>6</v>
      </c>
      <c r="D10" t="s">
        <v>27</v>
      </c>
      <c r="E10" t="s">
        <v>28</v>
      </c>
    </row>
    <row r="11" spans="1:5" x14ac:dyDescent="0.3">
      <c r="A11" t="s">
        <v>26</v>
      </c>
      <c r="B11">
        <v>2</v>
      </c>
      <c r="C11" t="s">
        <v>6</v>
      </c>
      <c r="D11" t="s">
        <v>29</v>
      </c>
      <c r="E11" t="s">
        <v>30</v>
      </c>
    </row>
    <row r="12" spans="1:5" x14ac:dyDescent="0.3">
      <c r="A12" t="s">
        <v>31</v>
      </c>
      <c r="B12">
        <v>1</v>
      </c>
      <c r="C12" t="s">
        <v>6</v>
      </c>
      <c r="D12" t="s">
        <v>14</v>
      </c>
      <c r="E12" t="s">
        <v>15</v>
      </c>
    </row>
    <row r="13" spans="1:5" x14ac:dyDescent="0.3">
      <c r="A13" t="s">
        <v>31</v>
      </c>
      <c r="B13">
        <v>2</v>
      </c>
      <c r="C13" t="s">
        <v>6</v>
      </c>
      <c r="D13" t="s">
        <v>14</v>
      </c>
      <c r="E13" t="s">
        <v>15</v>
      </c>
    </row>
    <row r="14" spans="1:5" x14ac:dyDescent="0.3">
      <c r="A14" t="s">
        <v>32</v>
      </c>
      <c r="B14">
        <v>1</v>
      </c>
      <c r="C14" t="s">
        <v>6</v>
      </c>
      <c r="D14" t="s">
        <v>33</v>
      </c>
      <c r="E14" t="s">
        <v>34</v>
      </c>
    </row>
    <row r="15" spans="1:5" x14ac:dyDescent="0.3">
      <c r="A15" t="s">
        <v>32</v>
      </c>
      <c r="B15">
        <v>2</v>
      </c>
      <c r="C15" t="s">
        <v>6</v>
      </c>
      <c r="D15" t="s">
        <v>35</v>
      </c>
      <c r="E15" t="s">
        <v>36</v>
      </c>
    </row>
    <row r="16" spans="1:5" x14ac:dyDescent="0.3">
      <c r="A16" t="s">
        <v>37</v>
      </c>
      <c r="B16">
        <v>1</v>
      </c>
      <c r="C16" t="s">
        <v>6</v>
      </c>
      <c r="D16" t="s">
        <v>38</v>
      </c>
      <c r="E16" t="s">
        <v>39</v>
      </c>
    </row>
    <row r="17" spans="1:5" x14ac:dyDescent="0.3">
      <c r="A17" t="s">
        <v>37</v>
      </c>
      <c r="B17">
        <v>2</v>
      </c>
      <c r="C17" t="s">
        <v>6</v>
      </c>
      <c r="D17" t="s">
        <v>40</v>
      </c>
      <c r="E17" t="s">
        <v>41</v>
      </c>
    </row>
    <row r="18" spans="1:5" x14ac:dyDescent="0.3">
      <c r="A18" t="s">
        <v>42</v>
      </c>
      <c r="B18">
        <v>1</v>
      </c>
      <c r="C18" t="s">
        <v>6</v>
      </c>
      <c r="D18" t="s">
        <v>43</v>
      </c>
      <c r="E18" t="s">
        <v>44</v>
      </c>
    </row>
    <row r="19" spans="1:5" x14ac:dyDescent="0.3">
      <c r="A19" t="s">
        <v>42</v>
      </c>
      <c r="B19">
        <v>2</v>
      </c>
      <c r="C19" t="s">
        <v>6</v>
      </c>
      <c r="D19" t="s">
        <v>35</v>
      </c>
      <c r="E19" t="s">
        <v>36</v>
      </c>
    </row>
    <row r="20" spans="1:5" x14ac:dyDescent="0.3">
      <c r="A20" t="s">
        <v>45</v>
      </c>
      <c r="B20">
        <v>1</v>
      </c>
      <c r="C20" t="s">
        <v>6</v>
      </c>
      <c r="D20" t="s">
        <v>46</v>
      </c>
      <c r="E20" t="s">
        <v>47</v>
      </c>
    </row>
    <row r="21" spans="1:5" x14ac:dyDescent="0.3">
      <c r="A21" t="s">
        <v>45</v>
      </c>
      <c r="B21">
        <v>2</v>
      </c>
      <c r="C21" t="s">
        <v>6</v>
      </c>
      <c r="D21" t="s">
        <v>48</v>
      </c>
      <c r="E21" t="s">
        <v>49</v>
      </c>
    </row>
    <row r="22" spans="1:5" x14ac:dyDescent="0.3">
      <c r="A22" t="s">
        <v>50</v>
      </c>
      <c r="B22">
        <v>20</v>
      </c>
      <c r="C22" t="s">
        <v>51</v>
      </c>
      <c r="D22" t="s">
        <v>52</v>
      </c>
      <c r="E2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"/>
  <sheetViews>
    <sheetView tabSelected="1" topLeftCell="B1" workbookViewId="0">
      <selection activeCell="J10" sqref="J10"/>
    </sheetView>
  </sheetViews>
  <sheetFormatPr defaultRowHeight="14.4" x14ac:dyDescent="0.3"/>
  <cols>
    <col min="1" max="1" width="24.21875" style="2" customWidth="1"/>
    <col min="2" max="2" width="10.21875" style="2" customWidth="1"/>
    <col min="3" max="3" width="33.5546875" style="2" hidden="1" customWidth="1"/>
    <col min="4" max="4" width="27.33203125" style="2" customWidth="1"/>
    <col min="5" max="5" width="38.5546875" style="2" customWidth="1"/>
    <col min="6" max="8" width="8.88671875" style="2"/>
    <col min="9" max="9" width="10.33203125" style="2" bestFit="1" customWidth="1"/>
    <col min="10" max="10" width="31.6640625" style="2" bestFit="1" customWidth="1"/>
    <col min="11" max="16384" width="8.88671875" style="2"/>
  </cols>
  <sheetData>
    <row r="1" spans="1:15" x14ac:dyDescent="0.3">
      <c r="A1" s="3" t="s">
        <v>0</v>
      </c>
      <c r="B1" s="3" t="s">
        <v>53</v>
      </c>
      <c r="C1" s="3" t="s">
        <v>54</v>
      </c>
      <c r="D1" s="3" t="s">
        <v>55</v>
      </c>
      <c r="E1" s="3" t="s">
        <v>56</v>
      </c>
    </row>
    <row r="2" spans="1:15" x14ac:dyDescent="0.3">
      <c r="A2" s="2" t="s">
        <v>5</v>
      </c>
      <c r="B2" s="2" t="s">
        <v>57</v>
      </c>
      <c r="C2" s="2" t="s">
        <v>58</v>
      </c>
      <c r="D2" s="2" t="s">
        <v>59</v>
      </c>
      <c r="E2" s="4" t="s">
        <v>60</v>
      </c>
      <c r="I2" s="2" t="s">
        <v>130</v>
      </c>
      <c r="J2" s="2" t="s">
        <v>131</v>
      </c>
      <c r="K2" s="2" t="s">
        <v>142</v>
      </c>
      <c r="L2" s="2" t="s">
        <v>143</v>
      </c>
      <c r="M2" s="2" t="s">
        <v>144</v>
      </c>
      <c r="N2" s="2" t="s">
        <v>146</v>
      </c>
      <c r="O2" s="2" t="s">
        <v>145</v>
      </c>
    </row>
    <row r="3" spans="1:15" x14ac:dyDescent="0.3">
      <c r="A3" s="2" t="s">
        <v>5</v>
      </c>
      <c r="B3" s="2" t="s">
        <v>62</v>
      </c>
      <c r="C3" s="2" t="s">
        <v>63</v>
      </c>
      <c r="D3" s="2" t="s">
        <v>59</v>
      </c>
      <c r="E3" s="4" t="s">
        <v>64</v>
      </c>
      <c r="I3" s="2" t="s">
        <v>132</v>
      </c>
      <c r="J3" s="2">
        <v>10</v>
      </c>
      <c r="K3" s="2">
        <v>2</v>
      </c>
      <c r="L3" s="2">
        <v>0</v>
      </c>
      <c r="M3" s="2">
        <v>8</v>
      </c>
      <c r="N3" s="2">
        <f>K3/(K3+M3)</f>
        <v>0.2</v>
      </c>
      <c r="O3" s="2">
        <f>K3/(K3+L3)</f>
        <v>1</v>
      </c>
    </row>
    <row r="4" spans="1:15" x14ac:dyDescent="0.3">
      <c r="A4" s="2" t="s">
        <v>5</v>
      </c>
      <c r="B4" s="2" t="s">
        <v>65</v>
      </c>
      <c r="C4" s="2" t="s">
        <v>66</v>
      </c>
      <c r="D4" s="2" t="s">
        <v>59</v>
      </c>
      <c r="E4" s="5" t="s">
        <v>67</v>
      </c>
      <c r="I4" s="2" t="s">
        <v>133</v>
      </c>
      <c r="J4" s="2">
        <v>1</v>
      </c>
      <c r="K4" s="2">
        <v>1</v>
      </c>
      <c r="L4" s="2">
        <v>2</v>
      </c>
      <c r="M4" s="2">
        <v>0</v>
      </c>
      <c r="N4" s="2">
        <f>K4/(K4+M4)</f>
        <v>1</v>
      </c>
      <c r="O4" s="2">
        <f t="shared" ref="O4:O13" si="0">K4/(K4+L4)</f>
        <v>0.33333333333333331</v>
      </c>
    </row>
    <row r="5" spans="1:15" x14ac:dyDescent="0.3">
      <c r="A5" s="2" t="s">
        <v>5</v>
      </c>
      <c r="B5" s="2" t="s">
        <v>68</v>
      </c>
      <c r="C5" s="2" t="s">
        <v>69</v>
      </c>
      <c r="D5" s="2" t="s">
        <v>59</v>
      </c>
      <c r="E5" s="4" t="s">
        <v>70</v>
      </c>
      <c r="I5" s="2" t="s">
        <v>134</v>
      </c>
      <c r="J5" s="2">
        <v>4</v>
      </c>
      <c r="K5" s="2">
        <v>3</v>
      </c>
      <c r="L5" s="2">
        <v>2</v>
      </c>
      <c r="M5" s="2">
        <v>1</v>
      </c>
      <c r="N5" s="2">
        <f t="shared" ref="N5:N13" si="1">K5/(K5+M5)</f>
        <v>0.75</v>
      </c>
      <c r="O5" s="2">
        <f t="shared" si="0"/>
        <v>0.6</v>
      </c>
    </row>
    <row r="6" spans="1:15" x14ac:dyDescent="0.3">
      <c r="A6" s="2" t="s">
        <v>5</v>
      </c>
      <c r="B6" s="2" t="s">
        <v>71</v>
      </c>
      <c r="C6" s="2" t="s">
        <v>72</v>
      </c>
      <c r="D6" s="2" t="s">
        <v>59</v>
      </c>
      <c r="E6" s="4" t="s">
        <v>73</v>
      </c>
      <c r="I6" s="2" t="s">
        <v>135</v>
      </c>
      <c r="J6" s="2">
        <v>3</v>
      </c>
      <c r="K6" s="2">
        <v>1</v>
      </c>
      <c r="L6" s="2">
        <v>0</v>
      </c>
      <c r="M6" s="2">
        <v>2</v>
      </c>
      <c r="N6" s="2">
        <f t="shared" si="1"/>
        <v>0.33333333333333331</v>
      </c>
      <c r="O6" s="2">
        <f t="shared" si="0"/>
        <v>1</v>
      </c>
    </row>
    <row r="7" spans="1:15" x14ac:dyDescent="0.3">
      <c r="A7" s="2" t="s">
        <v>11</v>
      </c>
      <c r="B7" s="2" t="s">
        <v>74</v>
      </c>
      <c r="C7" s="2" t="s">
        <v>75</v>
      </c>
      <c r="D7" s="2" t="s">
        <v>59</v>
      </c>
      <c r="E7" s="4" t="s">
        <v>76</v>
      </c>
      <c r="I7" s="2" t="s">
        <v>136</v>
      </c>
      <c r="J7" s="2">
        <v>2</v>
      </c>
      <c r="K7" s="2">
        <v>2</v>
      </c>
      <c r="L7" s="2">
        <v>2</v>
      </c>
      <c r="M7" s="2">
        <v>0</v>
      </c>
      <c r="N7" s="2">
        <f t="shared" si="1"/>
        <v>1</v>
      </c>
      <c r="O7" s="2">
        <f t="shared" si="0"/>
        <v>0.5</v>
      </c>
    </row>
    <row r="8" spans="1:15" x14ac:dyDescent="0.3">
      <c r="A8" s="2" t="s">
        <v>11</v>
      </c>
      <c r="B8" s="2" t="s">
        <v>65</v>
      </c>
      <c r="C8" s="2" t="s">
        <v>77</v>
      </c>
      <c r="D8" s="2" t="s">
        <v>59</v>
      </c>
      <c r="E8" s="4" t="s">
        <v>78</v>
      </c>
      <c r="I8" s="2" t="s">
        <v>137</v>
      </c>
      <c r="J8" s="2">
        <v>1</v>
      </c>
      <c r="K8" s="2">
        <v>1</v>
      </c>
      <c r="L8" s="2">
        <v>0</v>
      </c>
      <c r="M8" s="2">
        <v>0</v>
      </c>
      <c r="N8" s="2">
        <f t="shared" si="1"/>
        <v>1</v>
      </c>
      <c r="O8" s="2">
        <f t="shared" si="0"/>
        <v>1</v>
      </c>
    </row>
    <row r="9" spans="1:15" x14ac:dyDescent="0.3">
      <c r="A9" s="2" t="s">
        <v>16</v>
      </c>
      <c r="B9" s="2" t="s">
        <v>81</v>
      </c>
      <c r="C9" s="2" t="s">
        <v>82</v>
      </c>
      <c r="D9" s="4" t="s">
        <v>83</v>
      </c>
      <c r="E9" s="2" t="s">
        <v>61</v>
      </c>
      <c r="I9" s="2" t="s">
        <v>138</v>
      </c>
      <c r="J9" s="2">
        <v>1</v>
      </c>
      <c r="K9" s="2">
        <v>0</v>
      </c>
      <c r="L9" s="2">
        <v>0</v>
      </c>
      <c r="M9" s="2">
        <v>1</v>
      </c>
      <c r="N9" s="2">
        <f t="shared" si="1"/>
        <v>0</v>
      </c>
      <c r="O9" s="2" t="e">
        <f t="shared" si="0"/>
        <v>#DIV/0!</v>
      </c>
    </row>
    <row r="10" spans="1:15" x14ac:dyDescent="0.3">
      <c r="A10" s="2" t="s">
        <v>16</v>
      </c>
      <c r="B10" s="2" t="s">
        <v>84</v>
      </c>
      <c r="C10" s="2" t="s">
        <v>85</v>
      </c>
      <c r="D10" s="2" t="s">
        <v>59</v>
      </c>
      <c r="E10" s="5" t="s">
        <v>86</v>
      </c>
      <c r="I10" s="2" t="s">
        <v>139</v>
      </c>
      <c r="J10" s="2">
        <v>3</v>
      </c>
      <c r="K10" s="2">
        <v>3</v>
      </c>
      <c r="L10" s="2">
        <v>2</v>
      </c>
      <c r="M10" s="2">
        <v>0</v>
      </c>
      <c r="N10" s="2">
        <f t="shared" si="1"/>
        <v>1</v>
      </c>
      <c r="O10" s="2">
        <f t="shared" si="0"/>
        <v>0.6</v>
      </c>
    </row>
    <row r="11" spans="1:15" x14ac:dyDescent="0.3">
      <c r="A11" s="2" t="s">
        <v>16</v>
      </c>
      <c r="B11" s="2" t="s">
        <v>87</v>
      </c>
      <c r="C11" s="2" t="s">
        <v>88</v>
      </c>
      <c r="D11" s="2" t="s">
        <v>59</v>
      </c>
      <c r="E11" s="5" t="s">
        <v>89</v>
      </c>
      <c r="I11" s="2" t="s">
        <v>140</v>
      </c>
      <c r="J11" s="2">
        <v>1</v>
      </c>
      <c r="K11" s="2">
        <v>1</v>
      </c>
      <c r="L11" s="2">
        <v>0</v>
      </c>
      <c r="M11" s="2">
        <v>0</v>
      </c>
      <c r="N11" s="2">
        <f t="shared" si="1"/>
        <v>1</v>
      </c>
      <c r="O11" s="2">
        <f t="shared" si="0"/>
        <v>1</v>
      </c>
    </row>
    <row r="12" spans="1:15" x14ac:dyDescent="0.3">
      <c r="A12" s="2" t="s">
        <v>16</v>
      </c>
      <c r="B12" s="2" t="s">
        <v>90</v>
      </c>
      <c r="C12" s="2" t="s">
        <v>91</v>
      </c>
      <c r="D12" s="2" t="s">
        <v>59</v>
      </c>
      <c r="E12" s="5" t="s">
        <v>92</v>
      </c>
      <c r="I12" s="2" t="s">
        <v>141</v>
      </c>
      <c r="J12" s="2">
        <v>4</v>
      </c>
      <c r="K12" s="2">
        <v>4</v>
      </c>
      <c r="L12" s="2">
        <v>1</v>
      </c>
      <c r="M12" s="2">
        <v>0</v>
      </c>
      <c r="N12" s="2">
        <f t="shared" si="1"/>
        <v>1</v>
      </c>
      <c r="O12" s="2">
        <f t="shared" si="0"/>
        <v>0.8</v>
      </c>
    </row>
    <row r="13" spans="1:15" x14ac:dyDescent="0.3">
      <c r="A13" s="2" t="s">
        <v>21</v>
      </c>
      <c r="B13" s="2" t="s">
        <v>93</v>
      </c>
      <c r="C13" s="2" t="s">
        <v>94</v>
      </c>
      <c r="D13" s="2" t="s">
        <v>59</v>
      </c>
      <c r="E13" s="5" t="s">
        <v>95</v>
      </c>
      <c r="I13" s="2" t="s">
        <v>50</v>
      </c>
      <c r="J13" s="2">
        <f>SUM(J3:J12)</f>
        <v>30</v>
      </c>
      <c r="K13" s="2">
        <f>SUM(K3:K12)</f>
        <v>18</v>
      </c>
      <c r="L13" s="2">
        <f t="shared" ref="L13:M13" si="2">SUM(L3:L12)</f>
        <v>9</v>
      </c>
      <c r="M13" s="2">
        <f t="shared" si="2"/>
        <v>12</v>
      </c>
      <c r="N13" s="2">
        <f>K13/(K13+M13)</f>
        <v>0.6</v>
      </c>
      <c r="O13" s="2">
        <f t="shared" si="0"/>
        <v>0.66666666666666663</v>
      </c>
    </row>
    <row r="14" spans="1:15" x14ac:dyDescent="0.3">
      <c r="A14" s="2" t="s">
        <v>21</v>
      </c>
      <c r="B14" s="2" t="s">
        <v>96</v>
      </c>
      <c r="C14" s="2" t="s">
        <v>97</v>
      </c>
      <c r="D14" s="2" t="s">
        <v>59</v>
      </c>
      <c r="E14" s="5" t="s">
        <v>98</v>
      </c>
    </row>
    <row r="15" spans="1:15" x14ac:dyDescent="0.3">
      <c r="A15" s="2" t="s">
        <v>21</v>
      </c>
      <c r="B15" s="2" t="s">
        <v>99</v>
      </c>
      <c r="C15" s="2" t="s">
        <v>100</v>
      </c>
      <c r="D15" s="2" t="s">
        <v>59</v>
      </c>
      <c r="E15" s="4" t="s">
        <v>101</v>
      </c>
    </row>
    <row r="16" spans="1:15" x14ac:dyDescent="0.3">
      <c r="A16" s="2" t="s">
        <v>21</v>
      </c>
      <c r="B16" s="2" t="s">
        <v>102</v>
      </c>
      <c r="C16" s="2" t="s">
        <v>103</v>
      </c>
      <c r="D16" s="2" t="s">
        <v>59</v>
      </c>
      <c r="E16" s="4" t="s">
        <v>104</v>
      </c>
    </row>
    <row r="17" spans="1:5" x14ac:dyDescent="0.3">
      <c r="A17" s="2" t="s">
        <v>21</v>
      </c>
      <c r="B17" s="2" t="s">
        <v>105</v>
      </c>
      <c r="C17" s="2" t="s">
        <v>106</v>
      </c>
      <c r="D17" s="2" t="s">
        <v>59</v>
      </c>
      <c r="E17" s="4" t="s">
        <v>107</v>
      </c>
    </row>
    <row r="18" spans="1:5" x14ac:dyDescent="0.3">
      <c r="A18" s="2" t="s">
        <v>26</v>
      </c>
      <c r="B18" s="2" t="s">
        <v>65</v>
      </c>
      <c r="C18" s="2" t="s">
        <v>108</v>
      </c>
      <c r="D18" s="2" t="s">
        <v>59</v>
      </c>
      <c r="E18" s="4" t="s">
        <v>109</v>
      </c>
    </row>
    <row r="19" spans="1:5" x14ac:dyDescent="0.3">
      <c r="A19" s="2" t="s">
        <v>31</v>
      </c>
      <c r="B19" s="2" t="s">
        <v>110</v>
      </c>
      <c r="C19" s="2" t="s">
        <v>111</v>
      </c>
      <c r="D19" s="2" t="s">
        <v>59</v>
      </c>
      <c r="E19" s="4" t="s">
        <v>60</v>
      </c>
    </row>
    <row r="20" spans="1:5" x14ac:dyDescent="0.3">
      <c r="A20" s="2" t="s">
        <v>31</v>
      </c>
      <c r="B20" s="2" t="s">
        <v>65</v>
      </c>
      <c r="C20" s="2" t="s">
        <v>112</v>
      </c>
      <c r="D20" s="2" t="s">
        <v>59</v>
      </c>
      <c r="E20" s="4" t="s">
        <v>113</v>
      </c>
    </row>
    <row r="21" spans="1:5" x14ac:dyDescent="0.3">
      <c r="A21" s="2" t="s">
        <v>32</v>
      </c>
      <c r="B21" s="2" t="s">
        <v>65</v>
      </c>
      <c r="C21" s="2" t="s">
        <v>114</v>
      </c>
      <c r="D21" s="2" t="s">
        <v>59</v>
      </c>
      <c r="E21" s="4" t="s">
        <v>115</v>
      </c>
    </row>
    <row r="22" spans="1:5" x14ac:dyDescent="0.3">
      <c r="A22" s="2" t="s">
        <v>42</v>
      </c>
      <c r="B22" s="2" t="s">
        <v>81</v>
      </c>
      <c r="C22" s="2" t="s">
        <v>116</v>
      </c>
      <c r="D22" s="4" t="s">
        <v>117</v>
      </c>
      <c r="E22" s="2" t="s">
        <v>61</v>
      </c>
    </row>
    <row r="23" spans="1:5" x14ac:dyDescent="0.3">
      <c r="A23" s="2" t="s">
        <v>42</v>
      </c>
      <c r="B23" s="2" t="s">
        <v>84</v>
      </c>
      <c r="C23" s="2" t="s">
        <v>118</v>
      </c>
      <c r="D23" s="2" t="s">
        <v>59</v>
      </c>
      <c r="E23" s="5" t="s">
        <v>119</v>
      </c>
    </row>
    <row r="24" spans="1:5" x14ac:dyDescent="0.3">
      <c r="A24" s="2" t="s">
        <v>42</v>
      </c>
      <c r="B24" s="2" t="s">
        <v>87</v>
      </c>
      <c r="C24" s="2" t="s">
        <v>120</v>
      </c>
      <c r="D24" s="2" t="s">
        <v>59</v>
      </c>
      <c r="E24" s="5" t="s">
        <v>121</v>
      </c>
    </row>
    <row r="25" spans="1:5" x14ac:dyDescent="0.3">
      <c r="A25" s="2" t="s">
        <v>42</v>
      </c>
      <c r="B25" s="2" t="s">
        <v>79</v>
      </c>
      <c r="C25" s="2" t="s">
        <v>122</v>
      </c>
      <c r="D25" s="2" t="s">
        <v>59</v>
      </c>
      <c r="E25" s="4" t="s">
        <v>123</v>
      </c>
    </row>
    <row r="26" spans="1:5" x14ac:dyDescent="0.3">
      <c r="A26" s="2" t="s">
        <v>42</v>
      </c>
      <c r="B26" s="2" t="s">
        <v>80</v>
      </c>
      <c r="C26" s="2" t="s">
        <v>124</v>
      </c>
      <c r="D26" s="2" t="s">
        <v>59</v>
      </c>
      <c r="E26" s="4" t="s">
        <v>125</v>
      </c>
    </row>
    <row r="27" spans="1:5" x14ac:dyDescent="0.3">
      <c r="A27" s="2" t="s">
        <v>45</v>
      </c>
      <c r="B27" s="2" t="s">
        <v>65</v>
      </c>
      <c r="C27" s="2" t="s">
        <v>126</v>
      </c>
      <c r="D27" s="2" t="s">
        <v>59</v>
      </c>
      <c r="E27" s="4" t="s">
        <v>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128</v>
      </c>
      <c r="C1" s="1" t="s">
        <v>129</v>
      </c>
    </row>
    <row r="2" spans="1:3" x14ac:dyDescent="0.3">
      <c r="A2" t="s">
        <v>5</v>
      </c>
      <c r="B2">
        <v>201</v>
      </c>
      <c r="C2">
        <v>3.5369800010812469E-2</v>
      </c>
    </row>
    <row r="3" spans="1:3" x14ac:dyDescent="0.3">
      <c r="A3" t="s">
        <v>11</v>
      </c>
      <c r="B3">
        <v>199</v>
      </c>
      <c r="C3">
        <v>4.8506700011785142E-2</v>
      </c>
    </row>
    <row r="4" spans="1:3" x14ac:dyDescent="0.3">
      <c r="A4" t="s">
        <v>16</v>
      </c>
      <c r="B4">
        <v>329</v>
      </c>
      <c r="C4">
        <v>0.10564829999930229</v>
      </c>
    </row>
    <row r="5" spans="1:3" x14ac:dyDescent="0.3">
      <c r="A5" t="s">
        <v>21</v>
      </c>
      <c r="B5">
        <v>283</v>
      </c>
      <c r="C5">
        <v>0.14048739997087981</v>
      </c>
    </row>
    <row r="6" spans="1:3" x14ac:dyDescent="0.3">
      <c r="A6" t="s">
        <v>26</v>
      </c>
      <c r="B6">
        <v>121</v>
      </c>
      <c r="C6">
        <v>0.14443160001246719</v>
      </c>
    </row>
    <row r="7" spans="1:3" x14ac:dyDescent="0.3">
      <c r="A7" t="s">
        <v>31</v>
      </c>
      <c r="B7">
        <v>144</v>
      </c>
      <c r="C7">
        <v>0.1762116999889258</v>
      </c>
    </row>
    <row r="8" spans="1:3" x14ac:dyDescent="0.3">
      <c r="A8" t="s">
        <v>32</v>
      </c>
      <c r="B8">
        <v>245</v>
      </c>
      <c r="C8">
        <v>0.21834999999555291</v>
      </c>
    </row>
    <row r="9" spans="1:3" x14ac:dyDescent="0.3">
      <c r="A9" t="s">
        <v>37</v>
      </c>
      <c r="B9">
        <v>509</v>
      </c>
      <c r="C9">
        <v>0.3231678999873111</v>
      </c>
    </row>
    <row r="10" spans="1:3" x14ac:dyDescent="0.3">
      <c r="A10" t="s">
        <v>42</v>
      </c>
      <c r="B10">
        <v>240</v>
      </c>
      <c r="C10">
        <v>0.34702470000775071</v>
      </c>
    </row>
    <row r="11" spans="1:3" x14ac:dyDescent="0.3">
      <c r="A11" t="s">
        <v>45</v>
      </c>
      <c r="B11">
        <v>210</v>
      </c>
      <c r="C11">
        <v>0.37598489997617429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CWE 1245 Results</vt:lpstr>
      <vt:lpstr>CWE 1233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parks</cp:lastModifiedBy>
  <dcterms:created xsi:type="dcterms:W3CDTF">2025-10-02T18:19:54Z</dcterms:created>
  <dcterms:modified xsi:type="dcterms:W3CDTF">2025-10-02T20:57:50Z</dcterms:modified>
</cp:coreProperties>
</file>