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10-9-trials\"/>
    </mc:Choice>
  </mc:AlternateContent>
  <xr:revisionPtr revIDLastSave="0" documentId="13_ncr:1_{9B706401-07B6-43BF-95FF-80C8077177D3}" xr6:coauthVersionLast="47" xr6:coauthVersionMax="47" xr10:uidLastSave="{00000000-0000-0000-0000-000000000000}"/>
  <bookViews>
    <workbookView xWindow="-108" yWindow="-108" windowWidth="23256" windowHeight="13896" firstSheet="1" activeTab="2" xr2:uid="{00000000-000D-0000-FFFF-FFFF00000000}"/>
  </bookViews>
  <sheets>
    <sheet name="CWE 1245 Results" sheetId="1" r:id="rId1"/>
    <sheet name="CWE 1233 Results" sheetId="2" r:id="rId2"/>
    <sheet name="CWE 226 Results" sheetId="3" r:id="rId3"/>
    <sheet name="Detection Statisti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" l="1"/>
  <c r="K4" i="3" s="1"/>
  <c r="I5" i="3"/>
  <c r="I6" i="3"/>
  <c r="I7" i="3"/>
  <c r="I8" i="3"/>
  <c r="K8" i="3" s="1"/>
  <c r="I9" i="3"/>
  <c r="K9" i="3" s="1"/>
  <c r="I10" i="3"/>
  <c r="K10" i="3" s="1"/>
  <c r="I11" i="3"/>
  <c r="K11" i="3" s="1"/>
  <c r="I12" i="3"/>
  <c r="K12" i="3" s="1"/>
  <c r="I3" i="3"/>
  <c r="H13" i="3"/>
  <c r="G13" i="3"/>
  <c r="F13" i="3"/>
  <c r="I13" i="3" s="1"/>
  <c r="J12" i="3"/>
  <c r="J11" i="3"/>
  <c r="J10" i="3"/>
  <c r="J9" i="3"/>
  <c r="J8" i="3"/>
  <c r="K7" i="3"/>
  <c r="J7" i="3"/>
  <c r="K6" i="3"/>
  <c r="J6" i="3"/>
  <c r="K5" i="3"/>
  <c r="J5" i="3"/>
  <c r="J4" i="3"/>
  <c r="J3" i="3"/>
  <c r="K3" i="3" l="1"/>
  <c r="K13" i="3"/>
  <c r="J13" i="3"/>
</calcChain>
</file>

<file path=xl/sharedStrings.xml><?xml version="1.0" encoding="utf-8"?>
<sst xmlns="http://schemas.openxmlformats.org/spreadsheetml/2006/main" count="640" uniqueCount="242">
  <si>
    <t>File Name</t>
  </si>
  <si>
    <t>Case Number</t>
  </si>
  <si>
    <t>State Coverage</t>
  </si>
  <si>
    <t>Unreachable States</t>
  </si>
  <si>
    <t>Deadlocks</t>
  </si>
  <si>
    <t>CWE_226_example_10_vulnerable_parsed.json</t>
  </si>
  <si>
    <t>Secure: Default state covers rest of possible values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</si>
  <si>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</si>
  <si>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</si>
  <si>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Vulnerable: If statement within DEFAULT state restricts coverage of possible values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</si>
  <si>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</si>
  <si>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</si>
  <si>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CWE_226_example_1_vulnerable_parsed.json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</si>
  <si>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</si>
  <si>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</si>
  <si>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</si>
  <si>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</si>
  <si>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CWE_226_example_2_vulnerable_parsed.json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</si>
  <si>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</si>
  <si>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</si>
  <si>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CWE_226_example_3_vulnerable_parsed.json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</si>
  <si>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</si>
  <si>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</si>
  <si>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</si>
  <si>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</si>
  <si>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CWE_226_example_4_vulnerable_parsed.json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</si>
  <si>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</si>
  <si>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</si>
  <si>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</si>
  <si>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</si>
  <si>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CWE_226_example_5_vulnerable_parsed.json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</si>
  <si>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</si>
  <si>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</si>
  <si>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CWE_226_example_6_vulnerable_parsed.json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</si>
  <si>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</si>
  <si>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</si>
  <si>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</si>
  <si>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</si>
  <si>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CWE_226_example_7_vulnerable_parsed.json</t>
  </si>
  <si>
    <t>Vulnerable: ['CTRL_STORE'] state(s) not reachable</t>
  </si>
  <si>
    <t>Vulnerable: Possible deadlock(s) in ['CTRL_CHECK_LOAD', 'CTRL_CHECK_STORE'] state(s)</t>
  </si>
  <si>
    <t>CWE_226_example_8_vulnerable_parsed.json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</si>
  <si>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</si>
  <si>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</si>
  <si>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</si>
  <si>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</si>
  <si>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CWE_226_example_9_vulnerable_parsed.json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</si>
  <si>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</si>
  <si>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</si>
  <si>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</si>
  <si>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</si>
  <si>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Total</t>
  </si>
  <si>
    <t>{'Secure': 15, 'Vulnerable': 4, 'Inconclusive': 0}</t>
  </si>
  <si>
    <t>{'Secure': 0, 'Vulnerable': 1, 'Inconclusive': 18}</t>
  </si>
  <si>
    <t>Security Sensitive Register</t>
  </si>
  <si>
    <t>Assignment Line Numbers</t>
  </si>
  <si>
    <t>Lock Enforcement</t>
  </si>
  <si>
    <t>Security Sensitive Register Coverage</t>
  </si>
  <si>
    <t>poly128</t>
  </si>
  <si>
    <t>[127, 127, 127, 129, 129, 129, 131, 131, 131, 133, 133, 133]</t>
  </si>
  <si>
    <t>Secure: All locked assignments correctly enforce and reject unauthorized writes</t>
  </si>
  <si>
    <t>Secure: All assignments are protected</t>
  </si>
  <si>
    <t>poly64</t>
  </si>
  <si>
    <t>[135, 135, 135, 137, 137, 137]</t>
  </si>
  <si>
    <t>poly32_big</t>
  </si>
  <si>
    <t>[139, 139, 139]</t>
  </si>
  <si>
    <t>poly16_big</t>
  </si>
  <si>
    <t>[141, 141, 141]</t>
  </si>
  <si>
    <t>rdata</t>
  </si>
  <si>
    <t>[152, 156, 156, 156, 158, 158, 158, 160, 160, 160, 162, 162, 162, 164, 164, 164, 166, 166, 166, 168, 168, 168, 170, 170, 170, 172, 172, 172, 174, 174, 174, 176, 176, 176, 178, 180, 180, 182, 182, 184, 186, 186, 186, 188, 188, 188, 190, 190, 190, 192, 192, 192, 194, 194, 194, 196, 196, 196, 198, 198, 198, 200, 202, 204, 206, None]</t>
  </si>
  <si>
    <t>start</t>
  </si>
  <si>
    <t>[86, 99, 99]</t>
  </si>
  <si>
    <t>p_c</t>
  </si>
  <si>
    <t>[87, 88, 89, 90, 101, 101, 103, 103, 105, 105, 107, 107]</t>
  </si>
  <si>
    <t>key0</t>
  </si>
  <si>
    <t>[109, 109, 111, 111, 113, 113, 115, 115, 117, 117, 119, 119]</t>
  </si>
  <si>
    <t>state</t>
  </si>
  <si>
    <t>[91, 92, 93, 94, 121, 121, 123, 123, 125, 125, 127, 127]</t>
  </si>
  <si>
    <t>key1</t>
  </si>
  <si>
    <t>[129, 129, 131, 131, 133, 133, 135, 135, 137, 137, 139, 139]</t>
  </si>
  <si>
    <t>key2</t>
  </si>
  <si>
    <t>[141, 141, 143, 143, 145, 145, 147, 147, 149, 149, 151, 151]</t>
  </si>
  <si>
    <t>key_sel</t>
  </si>
  <si>
    <t>[153, 153]</t>
  </si>
  <si>
    <t>[165, 167, 170, 172, 172, 174, 174, 176, 176, 178, 178, 180, 182, 182, 184, 184, 186, 186, 188, 188, None]</t>
  </si>
  <si>
    <t>Vulnerable: Assignment(s) on line [167] are not protected</t>
  </si>
  <si>
    <t>key_big0</t>
  </si>
  <si>
    <t>[54]</t>
  </si>
  <si>
    <t>key_big1</t>
  </si>
  <si>
    <t>[55]</t>
  </si>
  <si>
    <t>startHash</t>
  </si>
  <si>
    <t>[98, 122, 122]</t>
  </si>
  <si>
    <t>newMessage</t>
  </si>
  <si>
    <t>[99, 123, 123]</t>
  </si>
  <si>
    <t>data</t>
  </si>
  <si>
    <t>[100, 101, 102, 103, 104, 105, 106, 107, 108, 109, 110, 111, 112, 113, 114, 115, 126, 126, 128, 128, 130, 130, 132, 132, 134, 134, 136, 136, 138, 138, 140, 140, 142, 142, 144, 144, 146, 146, 148, 148, 150, 150, 152, 152, 154, 154, 156, 156]</t>
  </si>
  <si>
    <t>[167, 171, 173, 173, 175, 175, 177, 177, 179, 179, 181, 181, 183, 183, 185, 185, 187, 187, 189, 189, 191, 191, 193, 193, 195, 195, 197, 197, 199, 199, 201, 201, 203, 203, 205, 207, 207, 209, 209, 211, 211, 213, 213, 215, 215, 217, 217, 219, 219, 221, 221, None]</t>
  </si>
  <si>
    <t>newMessage_r</t>
  </si>
  <si>
    <t>[81, 87]</t>
  </si>
  <si>
    <t>Vulnerable: Assignment(s) on line [87] are not protected</t>
  </si>
  <si>
    <t>startHash_r</t>
  </si>
  <si>
    <t>[80, 86]</t>
  </si>
  <si>
    <t>Vulnerable: Assignment(s) on line [86] are not protected</t>
  </si>
  <si>
    <t>inter_rst_ni</t>
  </si>
  <si>
    <t>[70, 81, 81]</t>
  </si>
  <si>
    <t>inter_rst1_ni</t>
  </si>
  <si>
    <t>[71, 83, 83]</t>
  </si>
  <si>
    <t>encry_decry_i</t>
  </si>
  <si>
    <t>[72, 85, 85]</t>
  </si>
  <si>
    <t>prime_i</t>
  </si>
  <si>
    <t>[73, 87, 87, 89, 89, 91, 91, 93, 93, 95, 95, 97, 97, 99, 99, 101, 101, 103, 103, 105, 105, 107, 107, 109, 109, 111, 111, 113, 113, 115, 115, 117, 117, 119, 119, 121, 121, 123, 123, 125, 125, 127, 127, 129, 129, 131, 131, 133, 133, 135, 135, 137, 137, 139, 139, 141, 141, 143, 143, 145, 145, 147, 147, 149, 149]</t>
  </si>
  <si>
    <t>prime1_i</t>
  </si>
  <si>
    <t>[74, 152, 152, 154, 154, 156, 156, 158, 158, 160, 160, 162, 162, 164, 164, 166, 166, 168, 168, 170, 170, 172, 172, 174, 174, 176, 176, 178, 178, 180, 180, 182, 182, 184, 184, 186, 186, 188, 188, 190, 190, 192, 192, 194, 194, 196, 196, 198, 198, 200, 200, 202, 202, 204, 204, 206, 206, 208, 208, 210, 210, 212, 212, 214, 214]</t>
  </si>
  <si>
    <t>msg_in</t>
  </si>
  <si>
    <t>[75, 217, 217, 219, 219, 221, 221, 223, 223, 225, 225, 227, 227, 229, 229, 231, 231, 233, 233, 235, 235, 237, 237, 239, 239, 241, 241, 243, 243, 245, 245, 247, 247, 249, 249, 251, 251, 253, 253, 255, 255, 257, 257, 259, 259, 261, 261, 263, 263, 265, 265, 267, 267, 269, 269, 271, 271, 273, 273, 275, 275, 277, 277, 279, 279, 281, 281, 283, 283, 285, 285, 287, 287, 289, 289, 291, 291, 293, 293, 295, 295, 297, 297, 299, 299, 301, 301, 303, 303, 305, 305, 307, 307, 309, 309, 311, 311, 313, 313, 315, 315, 317, 317, 319, 319, 321, 321, 323, 323, 325, 325, 327, 327, 329, 329, 331, 331, 333, 333, 335, 335, 337, 337, 339, 339, 341, 341, 343, 343]</t>
  </si>
  <si>
    <t>[354, 358, 358, 360, 360, 362, 362, 364, 364, 366, 366, 368, 368, 370, 370, 372, 372, 374, 374, 376, 376, 378, 378, 380, 380, 382, 382, 384, 384, 386, 386, 388, 388, 390, 390, 392, 392, 394, 394, 396, 396, 398, 398, 400, 400, 402, 402, 404, 404, 406, 406, 408, 408, 410, 410, 412, 412, 414, 414, 416, 416, 418, 418, 420, 420, 422, 422, 424, 424, 426, 426, 428, 428, 430, 430, 432, 432, 434, 434, 436, 436, 438, 438, 440, 440, 442, 442, 444, 444, 446, 446, 448, 448, 450, 450, 452, 452, 454, 454, 456, 456, 458, 458, 460, 460, 462, 462, 464, 464, 466, 466, 468, 468, 470, 470, 472, 472, 474, 474, 476, 476, 478, 478, 480, 480, 482, 482, 484, 484, 486, 486, None]</t>
  </si>
  <si>
    <t>[104, 128, 128]</t>
  </si>
  <si>
    <t>[105, 129, 129]</t>
  </si>
  <si>
    <t>key_hash_bypass</t>
  </si>
  <si>
    <t>[130, 130]</t>
  </si>
  <si>
    <t>[106, 107, 108, 109, 110, 111, 112, 113, 114, 115, 116, 117, 118, 119, 120, 121, 133, 133, 135, 135, 137, 137, 139, 139, 141, 141, 143, 143, 145, 145, 147, 147, 149, 149, 151, 151, 153, 153, 155, 155, 157, 157, 159, 159, 161, 161, 163, 163]</t>
  </si>
  <si>
    <t>[165, 165, 167, 167, 169, 169, 171, 171, 173, 173, 175, 175, 177, 177, 179, 179]</t>
  </si>
  <si>
    <t>ikey_hash_bytes</t>
  </si>
  <si>
    <t>[181, 181, 183, 183, 185, 185, 187, 187, 189, 189, 191, 191, 193, 193, 195, 195]</t>
  </si>
  <si>
    <t>okey_hash_bytes</t>
  </si>
  <si>
    <t>[197, 197, 199, 199, 201, 201, 203, 203, 205, 205, 207, 207, 209, 209, 211, 211]</t>
  </si>
  <si>
    <t>[222, 226, 228, 228, 230, 230, 232, 232, 234, 234, 236, 236, 238, 238, 240, 240, 242, 242, 244, 244, 246, 246, 248, 248, 250, 250, 252, 252, 254, 254, 256, 256, 258, 258, 260, 262, 262, 264, 264, 266, 266, 268, 268, 270, 270, 272, 272, 274, 274, 276, 276, 278, 278, 280, 280, 282, 282, 284, 284, 286, 286, 288, 288, 290, 290, 292, 292, 294, 294, 296, 296, 298, 298, 300, 300, 302, 302, 304, 304, 306, 306, 308, 308, None]</t>
  </si>
  <si>
    <t>[87, 93]</t>
  </si>
  <si>
    <t>Vulnerable: Assignment(s) on line [93] are not protected</t>
  </si>
  <si>
    <t>[86, 92]</t>
  </si>
  <si>
    <t>Vulnerable: Assignment(s) on line [92] are not protected</t>
  </si>
  <si>
    <t>key</t>
  </si>
  <si>
    <t>okey_hash</t>
  </si>
  <si>
    <t>[56]</t>
  </si>
  <si>
    <t>acct_mem</t>
  </si>
  <si>
    <t>[90, 90, 92, 92, 94, 94, 96, 96, 98, 98, 100, 100, 102, 102, 104, 104, 106, 106, 108, 108]</t>
  </si>
  <si>
    <t>[117, 121, 121, 123, 123, 125, 125, 127, 127, 129, 129, 131, 131, 133, 133, 135, 135, 137, 137, 139, 139, None]</t>
  </si>
  <si>
    <t>[94, 96, 101, 103, 103, 105, 105, 107, 107, None]</t>
  </si>
  <si>
    <t>Vulnerable: Assignment(s) on line [96, 101] are not protected</t>
  </si>
  <si>
    <t>start_d</t>
  </si>
  <si>
    <t>[116, 127]</t>
  </si>
  <si>
    <t>Vulnerable: Assignment(s) on line [127] are not protected</t>
  </si>
  <si>
    <t>[88, 102, 102]</t>
  </si>
  <si>
    <t>[104, 104, 106, 106, 108, 108, 110, 110]</t>
  </si>
  <si>
    <t>[112, 112, 114, 114, 116, 116, 118, 118]</t>
  </si>
  <si>
    <t>[93, 94, 95, 96, 120, 120, 122, 122, 124, 124, 126, 126]</t>
  </si>
  <si>
    <t>[128, 128, 130, 130, 132, 132, 134, 134]</t>
  </si>
  <si>
    <t>[136, 136, 138, 138, 140, 140, 142, 142]</t>
  </si>
  <si>
    <t>[144, 144]</t>
  </si>
  <si>
    <t>[155, 157, 160, 162, 162, 164, 164, 166, 166, 168, 168, 170, 172, 172, 174, 174, 176, 176, 178, 178, None]</t>
  </si>
  <si>
    <t>Vulnerable: Assignment(s) on line [157] are not protected</t>
  </si>
  <si>
    <t>encdec_reg</t>
  </si>
  <si>
    <t>[222, 243, 243]</t>
  </si>
  <si>
    <t>keylen_reg0</t>
  </si>
  <si>
    <t>[223, 244, 244]</t>
  </si>
  <si>
    <t>keylen_reg1</t>
  </si>
  <si>
    <t>[224, 245, 245]</t>
  </si>
  <si>
    <t>keylen_reg2</t>
  </si>
  <si>
    <t>[225, 246, 246]</t>
  </si>
  <si>
    <t>init_reg</t>
  </si>
  <si>
    <t>[226, 249, 249]</t>
  </si>
  <si>
    <t>next_reg</t>
  </si>
  <si>
    <t>[227, 250, 250]</t>
  </si>
  <si>
    <t>[230, 252, 252]</t>
  </si>
  <si>
    <t>block_reg</t>
  </si>
  <si>
    <t>[259, 259]</t>
  </si>
  <si>
    <t>key_reg0</t>
  </si>
  <si>
    <t>[262, 262]</t>
  </si>
  <si>
    <t>key_reg1</t>
  </si>
  <si>
    <t>[264, 264]</t>
  </si>
  <si>
    <t>key_reg2</t>
  </si>
  <si>
    <t>[266, 266]</t>
  </si>
  <si>
    <t>[276, 281, 281, 283, 283, 285, 285, 287, 289, 291, 291, 293, 293, 295, 295, 297, 297, None, None, None, None, None, None, None]</t>
  </si>
  <si>
    <t>init_reg_d</t>
  </si>
  <si>
    <t>[207, 212, 228]</t>
  </si>
  <si>
    <t>Vulnerable: Assignment(s) on line [212] are not protected</t>
  </si>
  <si>
    <t>next_reg_d</t>
  </si>
  <si>
    <t>[208, 213, 229]</t>
  </si>
  <si>
    <t>Vulnerable: Assignment(s) on line [213] are not protected</t>
  </si>
  <si>
    <t>Register</t>
  </si>
  <si>
    <t>Reset Coverage</t>
  </si>
  <si>
    <t>Vulnerable: No reset logic found for poly128</t>
  </si>
  <si>
    <t>Vulnerable: No reset logic found for poly64</t>
  </si>
  <si>
    <t>Vulnerable: No reset logic found for poly32_big</t>
  </si>
  <si>
    <t>Vulnerable: No reset logic found for poly16_big</t>
  </si>
  <si>
    <t>Vulnerable: No reset logic found for rdata</t>
  </si>
  <si>
    <t>Secure: Reset logic found for start</t>
  </si>
  <si>
    <t>Secure: Reset logic found for p_c</t>
  </si>
  <si>
    <t>Secure: Reset logic found for state</t>
  </si>
  <si>
    <t>Vulnerable: No reset logic found for key0</t>
  </si>
  <si>
    <t>Vulnerable: No reset logic found for key2</t>
  </si>
  <si>
    <t>Vulnerable: No reset logic found for key_sel</t>
  </si>
  <si>
    <t>Vulnerable: No reset logic found for key1</t>
  </si>
  <si>
    <t>Secure: Reset logic found for startHash_r</t>
  </si>
  <si>
    <t>Secure: Reset logic found for newMessage_r</t>
  </si>
  <si>
    <t>Secure: Reset logic found for startHash</t>
  </si>
  <si>
    <t>Secure: Reset logic found for newMessage</t>
  </si>
  <si>
    <t>Secure: Reset logic found for data</t>
  </si>
  <si>
    <t>Secure: Reset logic found for inter_rst_ni</t>
  </si>
  <si>
    <t>Secure: Reset logic found for inter_rst1_ni</t>
  </si>
  <si>
    <t>Secure: Reset logic found for encry_decry_i</t>
  </si>
  <si>
    <t>Secure: Reset logic found for prime_i</t>
  </si>
  <si>
    <t>Secure: Reset logic found for prime1_i</t>
  </si>
  <si>
    <t>Secure: Reset logic found for msg_in</t>
  </si>
  <si>
    <t>Vulnerable: No reset logic found for key_hash_bypass</t>
  </si>
  <si>
    <t>Vulnerable: No reset logic found for ikey_hash_bytes</t>
  </si>
  <si>
    <t>Vulnerable: No reset logic found for okey_hash_bytes</t>
  </si>
  <si>
    <t>Vulnerable: No reset logic found for acct_mem</t>
  </si>
  <si>
    <t>Secure: Reset logic found for start_d</t>
  </si>
  <si>
    <t>Vulnerable: No reset logic found for p_c</t>
  </si>
  <si>
    <t>Secure: Reset logic found for init_reg_d</t>
  </si>
  <si>
    <t>Secure: Reset logic found for next_reg_d</t>
  </si>
  <si>
    <t>Secure: Reset logic found for encdec_reg</t>
  </si>
  <si>
    <t>Secure: Reset logic found for keylen_reg0</t>
  </si>
  <si>
    <t>Secure: Reset logic found for keylen_reg1</t>
  </si>
  <si>
    <t>Secure: Reset logic found for keylen_reg2</t>
  </si>
  <si>
    <t>Secure: Reset logic found for init_reg</t>
  </si>
  <si>
    <t>Secure: Reset logic found for next_reg</t>
  </si>
  <si>
    <t>Secure: Reset logic found for key_sel</t>
  </si>
  <si>
    <t>Vulnerable: No reset logic found for block_reg</t>
  </si>
  <si>
    <t>Vulnerable: No reset logic found for key_reg0</t>
  </si>
  <si>
    <t>Vulnerable: No reset logic found for key_reg2</t>
  </si>
  <si>
    <t>Vulnerable: No reset logic found for key_reg1</t>
  </si>
  <si>
    <t>LoC</t>
  </si>
  <si>
    <t>Detection Time</t>
  </si>
  <si>
    <t>File</t>
  </si>
  <si>
    <t>Vulnerable Registers</t>
  </si>
  <si>
    <t>TP</t>
  </si>
  <si>
    <t>FP</t>
  </si>
  <si>
    <t>FN</t>
  </si>
  <si>
    <t>Precision</t>
  </si>
  <si>
    <t>Recall</t>
  </si>
  <si>
    <t>CWE_226_example_1_vulnerable_parsed.v</t>
  </si>
  <si>
    <t>CWE_226_example_2_vulnerable_parsed.v</t>
  </si>
  <si>
    <t>CWE_226_example_3_vulnerable_parsed.v</t>
  </si>
  <si>
    <t>CWE_226_example_4_vulnerable_parsed.v</t>
  </si>
  <si>
    <t>CWE_226_example_5_vulnerable_parsed.v</t>
  </si>
  <si>
    <t>CWE_226_example_6_vulnerable_parsed.v</t>
  </si>
  <si>
    <t>CWE_226_example_7_vulnerable_parsed.v</t>
  </si>
  <si>
    <t>CWE_226_example_8_vulnerable_parsed.v</t>
  </si>
  <si>
    <t>CWE_226_example_9_vulnerable_parsed.v</t>
  </si>
  <si>
    <t>CWE_226_example_10_vulnerable_parsed.v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</si>
</sst>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9</v>
      </c>
      <c r="D3" t="s">
        <v>10</v>
      </c>
      <c r="E3" t="s">
        <v>11</v>
      </c>
    </row>
    <row r="4" spans="1:5" x14ac:dyDescent="0.3">
      <c r="A4" t="s">
        <v>12</v>
      </c>
      <c r="B4">
        <v>1</v>
      </c>
      <c r="C4" t="s">
        <v>6</v>
      </c>
      <c r="D4" t="s">
        <v>13</v>
      </c>
      <c r="E4" t="s">
        <v>14</v>
      </c>
    </row>
    <row r="5" spans="1:5" x14ac:dyDescent="0.3">
      <c r="A5" t="s">
        <v>12</v>
      </c>
      <c r="B5">
        <v>2</v>
      </c>
      <c r="C5" t="s">
        <v>9</v>
      </c>
      <c r="D5" t="s">
        <v>15</v>
      </c>
      <c r="E5" t="s">
        <v>16</v>
      </c>
    </row>
    <row r="6" spans="1:5" x14ac:dyDescent="0.3">
      <c r="A6" t="s">
        <v>17</v>
      </c>
      <c r="B6">
        <v>1</v>
      </c>
      <c r="C6" t="s">
        <v>6</v>
      </c>
      <c r="D6" t="s">
        <v>18</v>
      </c>
      <c r="E6" t="s">
        <v>19</v>
      </c>
    </row>
    <row r="7" spans="1:5" x14ac:dyDescent="0.3">
      <c r="A7" t="s">
        <v>17</v>
      </c>
      <c r="B7">
        <v>2</v>
      </c>
      <c r="C7" t="s">
        <v>6</v>
      </c>
      <c r="D7" t="s">
        <v>10</v>
      </c>
      <c r="E7" t="s">
        <v>11</v>
      </c>
    </row>
    <row r="8" spans="1:5" x14ac:dyDescent="0.3">
      <c r="A8" t="s">
        <v>20</v>
      </c>
      <c r="B8">
        <v>1</v>
      </c>
      <c r="C8" t="s">
        <v>6</v>
      </c>
      <c r="D8" t="s">
        <v>21</v>
      </c>
      <c r="E8" t="s">
        <v>22</v>
      </c>
    </row>
    <row r="9" spans="1:5" x14ac:dyDescent="0.3">
      <c r="A9" t="s">
        <v>20</v>
      </c>
      <c r="B9">
        <v>2</v>
      </c>
      <c r="C9" t="s">
        <v>6</v>
      </c>
      <c r="D9" t="s">
        <v>23</v>
      </c>
      <c r="E9" t="s">
        <v>24</v>
      </c>
    </row>
    <row r="10" spans="1:5" x14ac:dyDescent="0.3">
      <c r="A10" t="s">
        <v>25</v>
      </c>
      <c r="B10">
        <v>1</v>
      </c>
      <c r="C10" t="s">
        <v>6</v>
      </c>
      <c r="D10" t="s">
        <v>26</v>
      </c>
      <c r="E10" t="s">
        <v>27</v>
      </c>
    </row>
    <row r="11" spans="1:5" x14ac:dyDescent="0.3">
      <c r="A11" t="s">
        <v>25</v>
      </c>
      <c r="B11">
        <v>2</v>
      </c>
      <c r="C11" t="s">
        <v>6</v>
      </c>
      <c r="D11" t="s">
        <v>28</v>
      </c>
      <c r="E11" t="s">
        <v>29</v>
      </c>
    </row>
    <row r="12" spans="1:5" x14ac:dyDescent="0.3">
      <c r="A12" t="s">
        <v>30</v>
      </c>
      <c r="B12">
        <v>1</v>
      </c>
      <c r="C12" t="s">
        <v>6</v>
      </c>
      <c r="D12" t="s">
        <v>31</v>
      </c>
      <c r="E12" t="s">
        <v>32</v>
      </c>
    </row>
    <row r="13" spans="1:5" x14ac:dyDescent="0.3">
      <c r="A13" t="s">
        <v>30</v>
      </c>
      <c r="B13">
        <v>2</v>
      </c>
      <c r="C13" t="s">
        <v>6</v>
      </c>
      <c r="D13" t="s">
        <v>31</v>
      </c>
      <c r="E13" t="s">
        <v>32</v>
      </c>
    </row>
    <row r="14" spans="1:5" x14ac:dyDescent="0.3">
      <c r="A14" t="s">
        <v>33</v>
      </c>
      <c r="B14">
        <v>1</v>
      </c>
      <c r="C14" t="s">
        <v>6</v>
      </c>
      <c r="D14" t="s">
        <v>34</v>
      </c>
      <c r="E14" t="s">
        <v>35</v>
      </c>
    </row>
    <row r="15" spans="1:5" x14ac:dyDescent="0.3">
      <c r="A15" t="s">
        <v>33</v>
      </c>
      <c r="B15">
        <v>2</v>
      </c>
      <c r="C15" t="s">
        <v>9</v>
      </c>
      <c r="D15" t="s">
        <v>36</v>
      </c>
      <c r="E15" t="s">
        <v>37</v>
      </c>
    </row>
    <row r="16" spans="1:5" x14ac:dyDescent="0.3">
      <c r="A16" t="s">
        <v>38</v>
      </c>
      <c r="B16">
        <v>1</v>
      </c>
      <c r="C16" t="s">
        <v>6</v>
      </c>
      <c r="D16" t="s">
        <v>39</v>
      </c>
      <c r="E16" t="s">
        <v>40</v>
      </c>
    </row>
    <row r="17" spans="1:5" x14ac:dyDescent="0.3">
      <c r="A17" t="s">
        <v>41</v>
      </c>
      <c r="B17">
        <v>1</v>
      </c>
      <c r="C17" t="s">
        <v>6</v>
      </c>
      <c r="D17" t="s">
        <v>42</v>
      </c>
      <c r="E17" t="s">
        <v>43</v>
      </c>
    </row>
    <row r="18" spans="1:5" x14ac:dyDescent="0.3">
      <c r="A18" t="s">
        <v>41</v>
      </c>
      <c r="B18">
        <v>2</v>
      </c>
      <c r="C18" t="s">
        <v>9</v>
      </c>
      <c r="D18" t="s">
        <v>44</v>
      </c>
      <c r="E18" t="s">
        <v>45</v>
      </c>
    </row>
    <row r="19" spans="1:5" x14ac:dyDescent="0.3">
      <c r="A19" t="s">
        <v>46</v>
      </c>
      <c r="B19">
        <v>1</v>
      </c>
      <c r="C19" t="s">
        <v>6</v>
      </c>
      <c r="D19" t="s">
        <v>47</v>
      </c>
      <c r="E19" t="s">
        <v>48</v>
      </c>
    </row>
    <row r="20" spans="1:5" x14ac:dyDescent="0.3">
      <c r="A20" t="s">
        <v>46</v>
      </c>
      <c r="B20">
        <v>2</v>
      </c>
      <c r="C20" t="s">
        <v>6</v>
      </c>
      <c r="D20" t="s">
        <v>49</v>
      </c>
      <c r="E20" t="s">
        <v>50</v>
      </c>
    </row>
    <row r="21" spans="1:5" x14ac:dyDescent="0.3">
      <c r="A21" t="s">
        <v>51</v>
      </c>
      <c r="B21">
        <v>19</v>
      </c>
      <c r="C21" t="s">
        <v>52</v>
      </c>
      <c r="D21" t="s">
        <v>53</v>
      </c>
      <c r="E21" t="s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</row>
    <row r="2" spans="1:5" x14ac:dyDescent="0.3">
      <c r="A2" t="s">
        <v>5</v>
      </c>
      <c r="B2" t="s">
        <v>58</v>
      </c>
      <c r="C2" t="s">
        <v>59</v>
      </c>
      <c r="D2" t="s">
        <v>60</v>
      </c>
      <c r="E2" t="s">
        <v>61</v>
      </c>
    </row>
    <row r="3" spans="1:5" x14ac:dyDescent="0.3">
      <c r="A3" t="s">
        <v>5</v>
      </c>
      <c r="B3" t="s">
        <v>62</v>
      </c>
      <c r="C3" t="s">
        <v>63</v>
      </c>
      <c r="D3" t="s">
        <v>60</v>
      </c>
      <c r="E3" t="s">
        <v>61</v>
      </c>
    </row>
    <row r="4" spans="1:5" x14ac:dyDescent="0.3">
      <c r="A4" t="s">
        <v>5</v>
      </c>
      <c r="B4" t="s">
        <v>64</v>
      </c>
      <c r="C4" t="s">
        <v>65</v>
      </c>
      <c r="D4" t="s">
        <v>60</v>
      </c>
      <c r="E4" t="s">
        <v>61</v>
      </c>
    </row>
    <row r="5" spans="1:5" x14ac:dyDescent="0.3">
      <c r="A5" t="s">
        <v>5</v>
      </c>
      <c r="B5" t="s">
        <v>66</v>
      </c>
      <c r="C5" t="s">
        <v>67</v>
      </c>
      <c r="D5" t="s">
        <v>60</v>
      </c>
      <c r="E5" t="s">
        <v>61</v>
      </c>
    </row>
    <row r="6" spans="1:5" x14ac:dyDescent="0.3">
      <c r="A6" t="s">
        <v>5</v>
      </c>
      <c r="B6" t="s">
        <v>68</v>
      </c>
      <c r="C6" t="s">
        <v>69</v>
      </c>
      <c r="D6" t="s">
        <v>60</v>
      </c>
      <c r="E6" t="s">
        <v>61</v>
      </c>
    </row>
    <row r="7" spans="1:5" x14ac:dyDescent="0.3">
      <c r="A7" t="s">
        <v>12</v>
      </c>
      <c r="B7" t="s">
        <v>70</v>
      </c>
      <c r="C7" t="s">
        <v>71</v>
      </c>
      <c r="D7" t="s">
        <v>60</v>
      </c>
      <c r="E7" t="s">
        <v>61</v>
      </c>
    </row>
    <row r="8" spans="1:5" x14ac:dyDescent="0.3">
      <c r="A8" t="s">
        <v>12</v>
      </c>
      <c r="B8" t="s">
        <v>72</v>
      </c>
      <c r="C8" t="s">
        <v>73</v>
      </c>
      <c r="D8" t="s">
        <v>60</v>
      </c>
      <c r="E8" t="s">
        <v>61</v>
      </c>
    </row>
    <row r="9" spans="1:5" x14ac:dyDescent="0.3">
      <c r="A9" t="s">
        <v>12</v>
      </c>
      <c r="B9" t="s">
        <v>74</v>
      </c>
      <c r="C9" t="s">
        <v>75</v>
      </c>
      <c r="D9" t="s">
        <v>60</v>
      </c>
      <c r="E9" t="s">
        <v>61</v>
      </c>
    </row>
    <row r="10" spans="1:5" x14ac:dyDescent="0.3">
      <c r="A10" t="s">
        <v>12</v>
      </c>
      <c r="B10" t="s">
        <v>76</v>
      </c>
      <c r="C10" t="s">
        <v>77</v>
      </c>
      <c r="D10" t="s">
        <v>60</v>
      </c>
      <c r="E10" t="s">
        <v>61</v>
      </c>
    </row>
    <row r="11" spans="1:5" x14ac:dyDescent="0.3">
      <c r="A11" t="s">
        <v>12</v>
      </c>
      <c r="B11" t="s">
        <v>78</v>
      </c>
      <c r="C11" t="s">
        <v>79</v>
      </c>
      <c r="D11" t="s">
        <v>60</v>
      </c>
      <c r="E11" t="s">
        <v>61</v>
      </c>
    </row>
    <row r="12" spans="1:5" x14ac:dyDescent="0.3">
      <c r="A12" t="s">
        <v>12</v>
      </c>
      <c r="B12" t="s">
        <v>80</v>
      </c>
      <c r="C12" t="s">
        <v>81</v>
      </c>
      <c r="D12" t="s">
        <v>60</v>
      </c>
      <c r="E12" t="s">
        <v>61</v>
      </c>
    </row>
    <row r="13" spans="1:5" x14ac:dyDescent="0.3">
      <c r="A13" t="s">
        <v>12</v>
      </c>
      <c r="B13" t="s">
        <v>82</v>
      </c>
      <c r="C13" t="s">
        <v>83</v>
      </c>
      <c r="D13" t="s">
        <v>60</v>
      </c>
      <c r="E13" t="s">
        <v>61</v>
      </c>
    </row>
    <row r="14" spans="1:5" x14ac:dyDescent="0.3">
      <c r="A14" t="s">
        <v>12</v>
      </c>
      <c r="B14" t="s">
        <v>68</v>
      </c>
      <c r="C14" t="s">
        <v>84</v>
      </c>
      <c r="D14" t="s">
        <v>60</v>
      </c>
      <c r="E14" t="s">
        <v>85</v>
      </c>
    </row>
    <row r="15" spans="1:5" x14ac:dyDescent="0.3">
      <c r="A15" t="s">
        <v>12</v>
      </c>
      <c r="B15" t="s">
        <v>86</v>
      </c>
      <c r="C15" t="s">
        <v>87</v>
      </c>
      <c r="D15" t="s">
        <v>60</v>
      </c>
      <c r="E15" t="s">
        <v>61</v>
      </c>
    </row>
    <row r="16" spans="1:5" x14ac:dyDescent="0.3">
      <c r="A16" t="s">
        <v>12</v>
      </c>
      <c r="B16" t="s">
        <v>88</v>
      </c>
      <c r="C16" t="s">
        <v>89</v>
      </c>
      <c r="D16" t="s">
        <v>60</v>
      </c>
      <c r="E16" t="s">
        <v>61</v>
      </c>
    </row>
    <row r="17" spans="1:5" x14ac:dyDescent="0.3">
      <c r="A17" t="s">
        <v>17</v>
      </c>
      <c r="B17" t="s">
        <v>90</v>
      </c>
      <c r="C17" t="s">
        <v>91</v>
      </c>
      <c r="D17" t="s">
        <v>60</v>
      </c>
      <c r="E17" t="s">
        <v>61</v>
      </c>
    </row>
    <row r="18" spans="1:5" x14ac:dyDescent="0.3">
      <c r="A18" t="s">
        <v>17</v>
      </c>
      <c r="B18" t="s">
        <v>92</v>
      </c>
      <c r="C18" t="s">
        <v>93</v>
      </c>
      <c r="D18" t="s">
        <v>60</v>
      </c>
      <c r="E18" t="s">
        <v>61</v>
      </c>
    </row>
    <row r="19" spans="1:5" x14ac:dyDescent="0.3">
      <c r="A19" t="s">
        <v>17</v>
      </c>
      <c r="B19" t="s">
        <v>94</v>
      </c>
      <c r="C19" t="s">
        <v>95</v>
      </c>
      <c r="D19" t="s">
        <v>60</v>
      </c>
      <c r="E19" t="s">
        <v>61</v>
      </c>
    </row>
    <row r="20" spans="1:5" x14ac:dyDescent="0.3">
      <c r="A20" t="s">
        <v>17</v>
      </c>
      <c r="B20" t="s">
        <v>68</v>
      </c>
      <c r="C20" t="s">
        <v>96</v>
      </c>
      <c r="D20" t="s">
        <v>60</v>
      </c>
      <c r="E20" t="s">
        <v>61</v>
      </c>
    </row>
    <row r="21" spans="1:5" x14ac:dyDescent="0.3">
      <c r="A21" t="s">
        <v>17</v>
      </c>
      <c r="B21" t="s">
        <v>97</v>
      </c>
      <c r="C21" t="s">
        <v>98</v>
      </c>
      <c r="D21" t="s">
        <v>60</v>
      </c>
      <c r="E21" t="s">
        <v>99</v>
      </c>
    </row>
    <row r="22" spans="1:5" x14ac:dyDescent="0.3">
      <c r="A22" t="s">
        <v>17</v>
      </c>
      <c r="B22" t="s">
        <v>100</v>
      </c>
      <c r="C22" t="s">
        <v>101</v>
      </c>
      <c r="D22" t="s">
        <v>60</v>
      </c>
      <c r="E22" t="s">
        <v>102</v>
      </c>
    </row>
    <row r="23" spans="1:5" x14ac:dyDescent="0.3">
      <c r="A23" t="s">
        <v>20</v>
      </c>
      <c r="B23" t="s">
        <v>103</v>
      </c>
      <c r="C23" t="s">
        <v>104</v>
      </c>
      <c r="D23" t="s">
        <v>60</v>
      </c>
      <c r="E23" t="s">
        <v>61</v>
      </c>
    </row>
    <row r="24" spans="1:5" x14ac:dyDescent="0.3">
      <c r="A24" t="s">
        <v>20</v>
      </c>
      <c r="B24" t="s">
        <v>105</v>
      </c>
      <c r="C24" t="s">
        <v>106</v>
      </c>
      <c r="D24" t="s">
        <v>60</v>
      </c>
      <c r="E24" t="s">
        <v>61</v>
      </c>
    </row>
    <row r="25" spans="1:5" x14ac:dyDescent="0.3">
      <c r="A25" t="s">
        <v>20</v>
      </c>
      <c r="B25" t="s">
        <v>107</v>
      </c>
      <c r="C25" t="s">
        <v>108</v>
      </c>
      <c r="D25" t="s">
        <v>60</v>
      </c>
      <c r="E25" t="s">
        <v>61</v>
      </c>
    </row>
    <row r="26" spans="1:5" x14ac:dyDescent="0.3">
      <c r="A26" t="s">
        <v>20</v>
      </c>
      <c r="B26" t="s">
        <v>109</v>
      </c>
      <c r="C26" t="s">
        <v>110</v>
      </c>
      <c r="D26" t="s">
        <v>60</v>
      </c>
      <c r="E26" t="s">
        <v>61</v>
      </c>
    </row>
    <row r="27" spans="1:5" x14ac:dyDescent="0.3">
      <c r="A27" t="s">
        <v>20</v>
      </c>
      <c r="B27" t="s">
        <v>111</v>
      </c>
      <c r="C27" t="s">
        <v>112</v>
      </c>
      <c r="D27" t="s">
        <v>60</v>
      </c>
      <c r="E27" t="s">
        <v>61</v>
      </c>
    </row>
    <row r="28" spans="1:5" x14ac:dyDescent="0.3">
      <c r="A28" t="s">
        <v>20</v>
      </c>
      <c r="B28" t="s">
        <v>113</v>
      </c>
      <c r="C28" t="s">
        <v>114</v>
      </c>
      <c r="D28" t="s">
        <v>60</v>
      </c>
      <c r="E28" t="s">
        <v>61</v>
      </c>
    </row>
    <row r="29" spans="1:5" x14ac:dyDescent="0.3">
      <c r="A29" t="s">
        <v>20</v>
      </c>
      <c r="B29" t="s">
        <v>68</v>
      </c>
      <c r="C29" t="s">
        <v>115</v>
      </c>
      <c r="D29" t="s">
        <v>60</v>
      </c>
      <c r="E29" t="s">
        <v>61</v>
      </c>
    </row>
    <row r="30" spans="1:5" x14ac:dyDescent="0.3">
      <c r="A30" t="s">
        <v>25</v>
      </c>
      <c r="B30" t="s">
        <v>90</v>
      </c>
      <c r="C30" t="s">
        <v>116</v>
      </c>
      <c r="D30" t="s">
        <v>60</v>
      </c>
      <c r="E30" t="s">
        <v>61</v>
      </c>
    </row>
    <row r="31" spans="1:5" x14ac:dyDescent="0.3">
      <c r="A31" t="s">
        <v>25</v>
      </c>
      <c r="B31" t="s">
        <v>92</v>
      </c>
      <c r="C31" t="s">
        <v>117</v>
      </c>
      <c r="D31" t="s">
        <v>60</v>
      </c>
      <c r="E31" t="s">
        <v>61</v>
      </c>
    </row>
    <row r="32" spans="1:5" x14ac:dyDescent="0.3">
      <c r="A32" t="s">
        <v>25</v>
      </c>
      <c r="B32" t="s">
        <v>118</v>
      </c>
      <c r="C32" t="s">
        <v>119</v>
      </c>
      <c r="D32" t="s">
        <v>60</v>
      </c>
      <c r="E32" t="s">
        <v>61</v>
      </c>
    </row>
    <row r="33" spans="1:5" x14ac:dyDescent="0.3">
      <c r="A33" t="s">
        <v>25</v>
      </c>
      <c r="B33" t="s">
        <v>94</v>
      </c>
      <c r="C33" t="s">
        <v>120</v>
      </c>
      <c r="D33" t="s">
        <v>60</v>
      </c>
      <c r="E33" t="s">
        <v>61</v>
      </c>
    </row>
    <row r="34" spans="1:5" x14ac:dyDescent="0.3">
      <c r="A34" t="s">
        <v>25</v>
      </c>
      <c r="B34" t="s">
        <v>74</v>
      </c>
      <c r="C34" t="s">
        <v>121</v>
      </c>
      <c r="D34" t="s">
        <v>60</v>
      </c>
      <c r="E34" t="s">
        <v>61</v>
      </c>
    </row>
    <row r="35" spans="1:5" x14ac:dyDescent="0.3">
      <c r="A35" t="s">
        <v>25</v>
      </c>
      <c r="B35" t="s">
        <v>122</v>
      </c>
      <c r="C35" t="s">
        <v>123</v>
      </c>
      <c r="D35" t="s">
        <v>60</v>
      </c>
      <c r="E35" t="s">
        <v>61</v>
      </c>
    </row>
    <row r="36" spans="1:5" x14ac:dyDescent="0.3">
      <c r="A36" t="s">
        <v>25</v>
      </c>
      <c r="B36" t="s">
        <v>124</v>
      </c>
      <c r="C36" t="s">
        <v>125</v>
      </c>
      <c r="D36" t="s">
        <v>60</v>
      </c>
      <c r="E36" t="s">
        <v>61</v>
      </c>
    </row>
    <row r="37" spans="1:5" x14ac:dyDescent="0.3">
      <c r="A37" t="s">
        <v>25</v>
      </c>
      <c r="B37" t="s">
        <v>68</v>
      </c>
      <c r="C37" t="s">
        <v>126</v>
      </c>
      <c r="D37" t="s">
        <v>60</v>
      </c>
      <c r="E37" t="s">
        <v>61</v>
      </c>
    </row>
    <row r="38" spans="1:5" x14ac:dyDescent="0.3">
      <c r="A38" t="s">
        <v>25</v>
      </c>
      <c r="B38" t="s">
        <v>97</v>
      </c>
      <c r="C38" t="s">
        <v>127</v>
      </c>
      <c r="D38" t="s">
        <v>60</v>
      </c>
      <c r="E38" t="s">
        <v>128</v>
      </c>
    </row>
    <row r="39" spans="1:5" x14ac:dyDescent="0.3">
      <c r="A39" t="s">
        <v>25</v>
      </c>
      <c r="B39" t="s">
        <v>100</v>
      </c>
      <c r="C39" t="s">
        <v>129</v>
      </c>
      <c r="D39" t="s">
        <v>60</v>
      </c>
      <c r="E39" t="s">
        <v>130</v>
      </c>
    </row>
    <row r="40" spans="1:5" x14ac:dyDescent="0.3">
      <c r="A40" t="s">
        <v>25</v>
      </c>
      <c r="B40" t="s">
        <v>131</v>
      </c>
      <c r="C40" t="s">
        <v>87</v>
      </c>
      <c r="D40" t="s">
        <v>60</v>
      </c>
      <c r="E40" t="s">
        <v>61</v>
      </c>
    </row>
    <row r="41" spans="1:5" x14ac:dyDescent="0.3">
      <c r="A41" t="s">
        <v>25</v>
      </c>
      <c r="B41" t="s">
        <v>132</v>
      </c>
      <c r="C41" t="s">
        <v>133</v>
      </c>
      <c r="D41" t="s">
        <v>60</v>
      </c>
      <c r="E41" t="s">
        <v>61</v>
      </c>
    </row>
    <row r="42" spans="1:5" x14ac:dyDescent="0.3">
      <c r="A42" t="s">
        <v>30</v>
      </c>
      <c r="B42" t="s">
        <v>134</v>
      </c>
      <c r="C42" t="s">
        <v>135</v>
      </c>
      <c r="D42" t="s">
        <v>60</v>
      </c>
      <c r="E42" t="s">
        <v>61</v>
      </c>
    </row>
    <row r="43" spans="1:5" x14ac:dyDescent="0.3">
      <c r="A43" t="s">
        <v>30</v>
      </c>
      <c r="B43" t="s">
        <v>68</v>
      </c>
      <c r="C43" t="s">
        <v>136</v>
      </c>
      <c r="D43" t="s">
        <v>60</v>
      </c>
      <c r="E43" t="s">
        <v>61</v>
      </c>
    </row>
    <row r="44" spans="1:5" x14ac:dyDescent="0.3">
      <c r="A44" t="s">
        <v>33</v>
      </c>
      <c r="B44" t="s">
        <v>68</v>
      </c>
      <c r="C44" t="s">
        <v>137</v>
      </c>
      <c r="D44" t="s">
        <v>60</v>
      </c>
      <c r="E44" t="s">
        <v>138</v>
      </c>
    </row>
    <row r="45" spans="1:5" x14ac:dyDescent="0.3">
      <c r="A45" t="s">
        <v>38</v>
      </c>
      <c r="B45" t="s">
        <v>139</v>
      </c>
      <c r="C45" t="s">
        <v>140</v>
      </c>
      <c r="D45" t="s">
        <v>60</v>
      </c>
      <c r="E45" t="s">
        <v>141</v>
      </c>
    </row>
    <row r="46" spans="1:5" x14ac:dyDescent="0.3">
      <c r="A46" t="s">
        <v>41</v>
      </c>
      <c r="B46" t="s">
        <v>70</v>
      </c>
      <c r="C46" t="s">
        <v>142</v>
      </c>
      <c r="D46" t="s">
        <v>60</v>
      </c>
      <c r="E46" t="s">
        <v>61</v>
      </c>
    </row>
    <row r="47" spans="1:5" x14ac:dyDescent="0.3">
      <c r="A47" t="s">
        <v>41</v>
      </c>
      <c r="B47" t="s">
        <v>72</v>
      </c>
      <c r="C47" t="s">
        <v>143</v>
      </c>
      <c r="D47" t="s">
        <v>60</v>
      </c>
      <c r="E47" t="s">
        <v>61</v>
      </c>
    </row>
    <row r="48" spans="1:5" x14ac:dyDescent="0.3">
      <c r="A48" t="s">
        <v>41</v>
      </c>
      <c r="B48" t="s">
        <v>74</v>
      </c>
      <c r="C48" t="s">
        <v>144</v>
      </c>
      <c r="D48" t="s">
        <v>60</v>
      </c>
      <c r="E48" t="s">
        <v>61</v>
      </c>
    </row>
    <row r="49" spans="1:5" x14ac:dyDescent="0.3">
      <c r="A49" t="s">
        <v>41</v>
      </c>
      <c r="B49" t="s">
        <v>76</v>
      </c>
      <c r="C49" t="s">
        <v>145</v>
      </c>
      <c r="D49" t="s">
        <v>60</v>
      </c>
      <c r="E49" t="s">
        <v>61</v>
      </c>
    </row>
    <row r="50" spans="1:5" x14ac:dyDescent="0.3">
      <c r="A50" t="s">
        <v>41</v>
      </c>
      <c r="B50" t="s">
        <v>78</v>
      </c>
      <c r="C50" t="s">
        <v>146</v>
      </c>
      <c r="D50" t="s">
        <v>60</v>
      </c>
      <c r="E50" t="s">
        <v>61</v>
      </c>
    </row>
    <row r="51" spans="1:5" x14ac:dyDescent="0.3">
      <c r="A51" t="s">
        <v>41</v>
      </c>
      <c r="B51" t="s">
        <v>80</v>
      </c>
      <c r="C51" t="s">
        <v>147</v>
      </c>
      <c r="D51" t="s">
        <v>60</v>
      </c>
      <c r="E51" t="s">
        <v>61</v>
      </c>
    </row>
    <row r="52" spans="1:5" x14ac:dyDescent="0.3">
      <c r="A52" t="s">
        <v>41</v>
      </c>
      <c r="B52" t="s">
        <v>82</v>
      </c>
      <c r="C52" t="s">
        <v>148</v>
      </c>
      <c r="D52" t="s">
        <v>60</v>
      </c>
      <c r="E52" t="s">
        <v>61</v>
      </c>
    </row>
    <row r="53" spans="1:5" x14ac:dyDescent="0.3">
      <c r="A53" t="s">
        <v>41</v>
      </c>
      <c r="B53" t="s">
        <v>68</v>
      </c>
      <c r="C53" t="s">
        <v>149</v>
      </c>
      <c r="D53" t="s">
        <v>60</v>
      </c>
      <c r="E53" t="s">
        <v>150</v>
      </c>
    </row>
    <row r="54" spans="1:5" x14ac:dyDescent="0.3">
      <c r="A54" t="s">
        <v>46</v>
      </c>
      <c r="B54" t="s">
        <v>151</v>
      </c>
      <c r="C54" t="s">
        <v>152</v>
      </c>
      <c r="D54" t="s">
        <v>60</v>
      </c>
      <c r="E54" t="s">
        <v>61</v>
      </c>
    </row>
    <row r="55" spans="1:5" x14ac:dyDescent="0.3">
      <c r="A55" t="s">
        <v>46</v>
      </c>
      <c r="B55" t="s">
        <v>153</v>
      </c>
      <c r="C55" t="s">
        <v>154</v>
      </c>
      <c r="D55" t="s">
        <v>60</v>
      </c>
      <c r="E55" t="s">
        <v>61</v>
      </c>
    </row>
    <row r="56" spans="1:5" x14ac:dyDescent="0.3">
      <c r="A56" t="s">
        <v>46</v>
      </c>
      <c r="B56" t="s">
        <v>155</v>
      </c>
      <c r="C56" t="s">
        <v>156</v>
      </c>
      <c r="D56" t="s">
        <v>60</v>
      </c>
      <c r="E56" t="s">
        <v>61</v>
      </c>
    </row>
    <row r="57" spans="1:5" x14ac:dyDescent="0.3">
      <c r="A57" t="s">
        <v>46</v>
      </c>
      <c r="B57" t="s">
        <v>157</v>
      </c>
      <c r="C57" t="s">
        <v>158</v>
      </c>
      <c r="D57" t="s">
        <v>60</v>
      </c>
      <c r="E57" t="s">
        <v>61</v>
      </c>
    </row>
    <row r="58" spans="1:5" x14ac:dyDescent="0.3">
      <c r="A58" t="s">
        <v>46</v>
      </c>
      <c r="B58" t="s">
        <v>159</v>
      </c>
      <c r="C58" t="s">
        <v>160</v>
      </c>
      <c r="D58" t="s">
        <v>60</v>
      </c>
      <c r="E58" t="s">
        <v>61</v>
      </c>
    </row>
    <row r="59" spans="1:5" x14ac:dyDescent="0.3">
      <c r="A59" t="s">
        <v>46</v>
      </c>
      <c r="B59" t="s">
        <v>161</v>
      </c>
      <c r="C59" t="s">
        <v>162</v>
      </c>
      <c r="D59" t="s">
        <v>60</v>
      </c>
      <c r="E59" t="s">
        <v>61</v>
      </c>
    </row>
    <row r="60" spans="1:5" x14ac:dyDescent="0.3">
      <c r="A60" t="s">
        <v>46</v>
      </c>
      <c r="B60" t="s">
        <v>82</v>
      </c>
      <c r="C60" t="s">
        <v>163</v>
      </c>
      <c r="D60" t="s">
        <v>60</v>
      </c>
      <c r="E60" t="s">
        <v>61</v>
      </c>
    </row>
    <row r="61" spans="1:5" x14ac:dyDescent="0.3">
      <c r="A61" t="s">
        <v>46</v>
      </c>
      <c r="B61" t="s">
        <v>164</v>
      </c>
      <c r="C61" t="s">
        <v>165</v>
      </c>
      <c r="D61" t="s">
        <v>60</v>
      </c>
      <c r="E61" t="s">
        <v>61</v>
      </c>
    </row>
    <row r="62" spans="1:5" x14ac:dyDescent="0.3">
      <c r="A62" t="s">
        <v>46</v>
      </c>
      <c r="B62" t="s">
        <v>166</v>
      </c>
      <c r="C62" t="s">
        <v>167</v>
      </c>
      <c r="D62" t="s">
        <v>60</v>
      </c>
      <c r="E62" t="s">
        <v>61</v>
      </c>
    </row>
    <row r="63" spans="1:5" x14ac:dyDescent="0.3">
      <c r="A63" t="s">
        <v>46</v>
      </c>
      <c r="B63" t="s">
        <v>168</v>
      </c>
      <c r="C63" t="s">
        <v>169</v>
      </c>
      <c r="D63" t="s">
        <v>60</v>
      </c>
      <c r="E63" t="s">
        <v>61</v>
      </c>
    </row>
    <row r="64" spans="1:5" x14ac:dyDescent="0.3">
      <c r="A64" t="s">
        <v>46</v>
      </c>
      <c r="B64" t="s">
        <v>170</v>
      </c>
      <c r="C64" t="s">
        <v>171</v>
      </c>
      <c r="D64" t="s">
        <v>60</v>
      </c>
      <c r="E64" t="s">
        <v>61</v>
      </c>
    </row>
    <row r="65" spans="1:5" x14ac:dyDescent="0.3">
      <c r="A65" t="s">
        <v>46</v>
      </c>
      <c r="B65" t="s">
        <v>68</v>
      </c>
      <c r="C65" t="s">
        <v>172</v>
      </c>
      <c r="D65" t="s">
        <v>60</v>
      </c>
      <c r="E65" t="s">
        <v>61</v>
      </c>
    </row>
    <row r="66" spans="1:5" x14ac:dyDescent="0.3">
      <c r="A66" t="s">
        <v>46</v>
      </c>
      <c r="B66" t="s">
        <v>173</v>
      </c>
      <c r="C66" t="s">
        <v>174</v>
      </c>
      <c r="D66" t="s">
        <v>60</v>
      </c>
      <c r="E66" t="s">
        <v>175</v>
      </c>
    </row>
    <row r="67" spans="1:5" x14ac:dyDescent="0.3">
      <c r="A67" t="s">
        <v>46</v>
      </c>
      <c r="B67" t="s">
        <v>176</v>
      </c>
      <c r="C67" t="s">
        <v>177</v>
      </c>
      <c r="D67" t="s">
        <v>60</v>
      </c>
      <c r="E67" t="s">
        <v>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3"/>
  <sheetViews>
    <sheetView tabSelected="1" topLeftCell="B1" workbookViewId="0">
      <selection activeCell="G20" sqref="G20"/>
    </sheetView>
  </sheetViews>
  <sheetFormatPr defaultRowHeight="14.4" x14ac:dyDescent="0.3"/>
  <cols>
    <col min="1" max="1" width="42.44140625" style="3" bestFit="1" customWidth="1"/>
    <col min="2" max="2" width="16" style="3" bestFit="1" customWidth="1"/>
    <col min="3" max="3" width="48.33203125" style="3" bestFit="1" customWidth="1"/>
    <col min="4" max="4" width="8.88671875" style="3"/>
    <col min="5" max="5" width="45.6640625" style="3" customWidth="1"/>
    <col min="6" max="6" width="19.109375" style="3" bestFit="1" customWidth="1"/>
    <col min="7" max="16384" width="8.88671875" style="3"/>
  </cols>
  <sheetData>
    <row r="1" spans="1:11" x14ac:dyDescent="0.3">
      <c r="A1" s="2" t="s">
        <v>0</v>
      </c>
      <c r="B1" s="2" t="s">
        <v>179</v>
      </c>
      <c r="C1" s="2" t="s">
        <v>180</v>
      </c>
    </row>
    <row r="2" spans="1:11" x14ac:dyDescent="0.3">
      <c r="A2" s="4" t="s">
        <v>5</v>
      </c>
      <c r="B2" s="4" t="s">
        <v>58</v>
      </c>
      <c r="C2" s="6" t="s">
        <v>181</v>
      </c>
      <c r="D2" s="7"/>
      <c r="E2" s="3" t="s">
        <v>225</v>
      </c>
      <c r="F2" s="3" t="s">
        <v>226</v>
      </c>
      <c r="G2" s="3" t="s">
        <v>227</v>
      </c>
      <c r="H2" s="3" t="s">
        <v>228</v>
      </c>
      <c r="I2" s="3" t="s">
        <v>229</v>
      </c>
      <c r="J2" s="3" t="s">
        <v>230</v>
      </c>
      <c r="K2" s="3" t="s">
        <v>231</v>
      </c>
    </row>
    <row r="3" spans="1:11" x14ac:dyDescent="0.3">
      <c r="A3" s="4" t="s">
        <v>5</v>
      </c>
      <c r="B3" s="4" t="s">
        <v>62</v>
      </c>
      <c r="C3" s="6" t="s">
        <v>182</v>
      </c>
      <c r="D3" s="7"/>
      <c r="E3" s="3" t="s">
        <v>232</v>
      </c>
      <c r="F3" s="3">
        <v>5</v>
      </c>
      <c r="G3" s="3">
        <v>4</v>
      </c>
      <c r="H3" s="3">
        <v>1</v>
      </c>
      <c r="I3" s="3">
        <f>F3-G3</f>
        <v>1</v>
      </c>
      <c r="J3" s="3">
        <f>G3/(G3+H3)</f>
        <v>0.8</v>
      </c>
      <c r="K3" s="3">
        <f>G3/(G3+I3)</f>
        <v>0.8</v>
      </c>
    </row>
    <row r="4" spans="1:11" x14ac:dyDescent="0.3">
      <c r="A4" s="4" t="s">
        <v>5</v>
      </c>
      <c r="B4" s="4" t="s">
        <v>64</v>
      </c>
      <c r="C4" s="6" t="s">
        <v>183</v>
      </c>
      <c r="D4" s="7"/>
      <c r="E4" s="3" t="s">
        <v>233</v>
      </c>
      <c r="F4" s="3">
        <v>3</v>
      </c>
      <c r="G4" s="3">
        <v>0</v>
      </c>
      <c r="H4" s="3">
        <v>1</v>
      </c>
      <c r="I4" s="3">
        <f t="shared" ref="I4:I13" si="0">F4-G4</f>
        <v>3</v>
      </c>
      <c r="J4" s="3">
        <f>G4/(G4+H4)</f>
        <v>0</v>
      </c>
      <c r="K4" s="3">
        <f t="shared" ref="K4:K12" si="1">G4/(G4+I4)</f>
        <v>0</v>
      </c>
    </row>
    <row r="5" spans="1:11" x14ac:dyDescent="0.3">
      <c r="A5" s="4" t="s">
        <v>5</v>
      </c>
      <c r="B5" s="4" t="s">
        <v>66</v>
      </c>
      <c r="C5" s="6" t="s">
        <v>184</v>
      </c>
      <c r="D5" s="7"/>
      <c r="E5" s="3" t="s">
        <v>234</v>
      </c>
      <c r="F5" s="3">
        <v>1</v>
      </c>
      <c r="G5" s="3">
        <v>0</v>
      </c>
      <c r="H5" s="3">
        <v>1</v>
      </c>
      <c r="I5" s="3">
        <f t="shared" si="0"/>
        <v>1</v>
      </c>
      <c r="J5" s="3">
        <f t="shared" ref="J5:J13" si="2">G5/(G5+H5)</f>
        <v>0</v>
      </c>
      <c r="K5" s="3">
        <f t="shared" si="1"/>
        <v>0</v>
      </c>
    </row>
    <row r="6" spans="1:11" x14ac:dyDescent="0.3">
      <c r="A6" s="4" t="s">
        <v>5</v>
      </c>
      <c r="B6" s="4" t="s">
        <v>68</v>
      </c>
      <c r="C6" s="6" t="s">
        <v>185</v>
      </c>
      <c r="D6" s="6"/>
      <c r="E6" s="3" t="s">
        <v>235</v>
      </c>
      <c r="F6" s="3">
        <v>4</v>
      </c>
      <c r="G6" s="3">
        <v>4</v>
      </c>
      <c r="H6" s="3">
        <v>1</v>
      </c>
      <c r="I6" s="3">
        <f t="shared" si="0"/>
        <v>0</v>
      </c>
      <c r="J6" s="3">
        <f t="shared" si="2"/>
        <v>0.8</v>
      </c>
      <c r="K6" s="3">
        <f t="shared" si="1"/>
        <v>1</v>
      </c>
    </row>
    <row r="7" spans="1:11" x14ac:dyDescent="0.3">
      <c r="A7" s="5" t="s">
        <v>12</v>
      </c>
      <c r="B7" s="5" t="s">
        <v>70</v>
      </c>
      <c r="C7" s="5" t="s">
        <v>186</v>
      </c>
      <c r="D7" s="9"/>
      <c r="E7" s="3" t="s">
        <v>236</v>
      </c>
      <c r="F7" s="3">
        <v>1</v>
      </c>
      <c r="G7" s="3">
        <v>1</v>
      </c>
      <c r="H7" s="3">
        <v>1</v>
      </c>
      <c r="I7" s="3">
        <f t="shared" si="0"/>
        <v>0</v>
      </c>
      <c r="J7" s="3">
        <f t="shared" si="2"/>
        <v>0.5</v>
      </c>
      <c r="K7" s="3">
        <f t="shared" si="1"/>
        <v>1</v>
      </c>
    </row>
    <row r="8" spans="1:11" x14ac:dyDescent="0.3">
      <c r="A8" s="5" t="s">
        <v>12</v>
      </c>
      <c r="B8" s="5" t="s">
        <v>72</v>
      </c>
      <c r="C8" s="5" t="s">
        <v>187</v>
      </c>
      <c r="D8" s="8"/>
      <c r="E8" s="3" t="s">
        <v>237</v>
      </c>
      <c r="F8" s="3">
        <v>2</v>
      </c>
      <c r="G8" s="3">
        <v>0</v>
      </c>
      <c r="H8" s="3">
        <v>1</v>
      </c>
      <c r="I8" s="3">
        <f t="shared" si="0"/>
        <v>2</v>
      </c>
      <c r="J8" s="3">
        <f t="shared" si="2"/>
        <v>0</v>
      </c>
      <c r="K8" s="3">
        <f t="shared" si="1"/>
        <v>0</v>
      </c>
    </row>
    <row r="9" spans="1:11" x14ac:dyDescent="0.3">
      <c r="A9" s="5" t="s">
        <v>12</v>
      </c>
      <c r="B9" s="5" t="s">
        <v>76</v>
      </c>
      <c r="C9" s="5" t="s">
        <v>188</v>
      </c>
      <c r="D9" s="9"/>
      <c r="E9" s="3" t="s">
        <v>238</v>
      </c>
      <c r="F9" s="3">
        <v>2</v>
      </c>
      <c r="G9" s="3">
        <v>0</v>
      </c>
      <c r="H9" s="3">
        <v>0</v>
      </c>
      <c r="I9" s="3">
        <f t="shared" si="0"/>
        <v>2</v>
      </c>
      <c r="J9" s="3" t="e">
        <f t="shared" si="2"/>
        <v>#DIV/0!</v>
      </c>
      <c r="K9" s="3">
        <f t="shared" si="1"/>
        <v>0</v>
      </c>
    </row>
    <row r="10" spans="1:11" x14ac:dyDescent="0.3">
      <c r="A10" s="5" t="s">
        <v>12</v>
      </c>
      <c r="B10" s="5" t="s">
        <v>74</v>
      </c>
      <c r="C10" s="6" t="s">
        <v>189</v>
      </c>
      <c r="D10" s="7"/>
      <c r="E10" s="3" t="s">
        <v>239</v>
      </c>
      <c r="F10" s="3">
        <v>5</v>
      </c>
      <c r="G10" s="3">
        <v>5</v>
      </c>
      <c r="H10" s="3">
        <v>1</v>
      </c>
      <c r="I10" s="3">
        <f t="shared" si="0"/>
        <v>0</v>
      </c>
      <c r="J10" s="3">
        <f t="shared" si="2"/>
        <v>0.83333333333333337</v>
      </c>
      <c r="K10" s="3">
        <f t="shared" si="1"/>
        <v>1</v>
      </c>
    </row>
    <row r="11" spans="1:11" x14ac:dyDescent="0.3">
      <c r="A11" s="5" t="s">
        <v>12</v>
      </c>
      <c r="B11" s="5" t="s">
        <v>80</v>
      </c>
      <c r="C11" s="6" t="s">
        <v>190</v>
      </c>
      <c r="D11" s="7"/>
      <c r="E11" s="3" t="s">
        <v>240</v>
      </c>
      <c r="F11" s="3">
        <v>3</v>
      </c>
      <c r="G11" s="3">
        <v>3</v>
      </c>
      <c r="H11" s="3">
        <v>2</v>
      </c>
      <c r="I11" s="3">
        <f t="shared" si="0"/>
        <v>0</v>
      </c>
      <c r="J11" s="3">
        <f t="shared" si="2"/>
        <v>0.6</v>
      </c>
      <c r="K11" s="3">
        <f t="shared" si="1"/>
        <v>1</v>
      </c>
    </row>
    <row r="12" spans="1:11" x14ac:dyDescent="0.3">
      <c r="A12" s="5" t="s">
        <v>12</v>
      </c>
      <c r="B12" s="5" t="s">
        <v>82</v>
      </c>
      <c r="C12" s="6" t="s">
        <v>191</v>
      </c>
      <c r="D12" s="7"/>
      <c r="E12" s="3" t="s">
        <v>241</v>
      </c>
      <c r="F12" s="3">
        <v>6</v>
      </c>
      <c r="G12" s="3">
        <v>4</v>
      </c>
      <c r="H12" s="3">
        <v>1</v>
      </c>
      <c r="I12" s="3">
        <f t="shared" si="0"/>
        <v>2</v>
      </c>
      <c r="J12" s="3">
        <f t="shared" si="2"/>
        <v>0.8</v>
      </c>
      <c r="K12" s="3">
        <f t="shared" si="1"/>
        <v>0.66666666666666663</v>
      </c>
    </row>
    <row r="13" spans="1:11" x14ac:dyDescent="0.3">
      <c r="A13" s="5" t="s">
        <v>12</v>
      </c>
      <c r="B13" s="5" t="s">
        <v>78</v>
      </c>
      <c r="C13" s="6" t="s">
        <v>192</v>
      </c>
      <c r="D13" s="7"/>
      <c r="E13" s="3" t="s">
        <v>51</v>
      </c>
      <c r="F13" s="3">
        <f>SUM(F3:F12)</f>
        <v>32</v>
      </c>
      <c r="G13" s="3">
        <f t="shared" ref="G13:H13" si="3">SUM(G3:G12)</f>
        <v>21</v>
      </c>
      <c r="H13" s="3">
        <f t="shared" si="3"/>
        <v>10</v>
      </c>
      <c r="I13" s="3">
        <f t="shared" si="0"/>
        <v>11</v>
      </c>
      <c r="J13" s="3">
        <f t="shared" si="2"/>
        <v>0.67741935483870963</v>
      </c>
      <c r="K13" s="3">
        <f>G13/(G13+I13)</f>
        <v>0.65625</v>
      </c>
    </row>
    <row r="14" spans="1:11" x14ac:dyDescent="0.3">
      <c r="A14" s="5" t="s">
        <v>12</v>
      </c>
      <c r="B14" s="5" t="s">
        <v>68</v>
      </c>
      <c r="C14" s="6" t="s">
        <v>185</v>
      </c>
      <c r="D14" s="6"/>
    </row>
    <row r="15" spans="1:11" x14ac:dyDescent="0.3">
      <c r="A15" s="4" t="s">
        <v>17</v>
      </c>
      <c r="B15" s="4" t="s">
        <v>100</v>
      </c>
      <c r="C15" s="4" t="s">
        <v>193</v>
      </c>
      <c r="D15" s="9"/>
    </row>
    <row r="16" spans="1:11" x14ac:dyDescent="0.3">
      <c r="A16" s="4" t="s">
        <v>17</v>
      </c>
      <c r="B16" s="4" t="s">
        <v>97</v>
      </c>
      <c r="C16" s="4" t="s">
        <v>194</v>
      </c>
      <c r="D16" s="9"/>
    </row>
    <row r="17" spans="1:4" x14ac:dyDescent="0.3">
      <c r="A17" s="4" t="s">
        <v>17</v>
      </c>
      <c r="B17" s="4" t="s">
        <v>90</v>
      </c>
      <c r="C17" s="4" t="s">
        <v>195</v>
      </c>
      <c r="D17" s="8"/>
    </row>
    <row r="18" spans="1:4" x14ac:dyDescent="0.3">
      <c r="A18" s="4" t="s">
        <v>17</v>
      </c>
      <c r="B18" s="4" t="s">
        <v>92</v>
      </c>
      <c r="C18" s="4" t="s">
        <v>196</v>
      </c>
      <c r="D18" s="8"/>
    </row>
    <row r="19" spans="1:4" x14ac:dyDescent="0.3">
      <c r="A19" s="4" t="s">
        <v>17</v>
      </c>
      <c r="B19" s="4" t="s">
        <v>94</v>
      </c>
      <c r="C19" s="4" t="s">
        <v>197</v>
      </c>
      <c r="D19" s="8"/>
    </row>
    <row r="20" spans="1:4" x14ac:dyDescent="0.3">
      <c r="A20" s="4" t="s">
        <v>17</v>
      </c>
      <c r="B20" s="4" t="s">
        <v>68</v>
      </c>
      <c r="C20" s="6" t="s">
        <v>185</v>
      </c>
      <c r="D20" s="6"/>
    </row>
    <row r="21" spans="1:4" x14ac:dyDescent="0.3">
      <c r="A21" s="5" t="s">
        <v>20</v>
      </c>
      <c r="B21" s="5" t="s">
        <v>103</v>
      </c>
      <c r="C21" s="5" t="s">
        <v>198</v>
      </c>
      <c r="D21" s="9"/>
    </row>
    <row r="22" spans="1:4" x14ac:dyDescent="0.3">
      <c r="A22" s="5" t="s">
        <v>20</v>
      </c>
      <c r="B22" s="5" t="s">
        <v>105</v>
      </c>
      <c r="C22" s="5" t="s">
        <v>199</v>
      </c>
      <c r="D22" s="9"/>
    </row>
    <row r="23" spans="1:4" x14ac:dyDescent="0.3">
      <c r="A23" s="5" t="s">
        <v>20</v>
      </c>
      <c r="B23" s="5" t="s">
        <v>107</v>
      </c>
      <c r="C23" s="5" t="s">
        <v>200</v>
      </c>
      <c r="D23" s="9"/>
    </row>
    <row r="24" spans="1:4" x14ac:dyDescent="0.3">
      <c r="A24" s="5" t="s">
        <v>20</v>
      </c>
      <c r="B24" s="5" t="s">
        <v>109</v>
      </c>
      <c r="C24" s="5" t="s">
        <v>201</v>
      </c>
      <c r="D24" s="9"/>
    </row>
    <row r="25" spans="1:4" x14ac:dyDescent="0.3">
      <c r="A25" s="5" t="s">
        <v>20</v>
      </c>
      <c r="B25" s="5" t="s">
        <v>111</v>
      </c>
      <c r="C25" s="5" t="s">
        <v>202</v>
      </c>
      <c r="D25" s="9"/>
    </row>
    <row r="26" spans="1:4" x14ac:dyDescent="0.3">
      <c r="A26" s="5" t="s">
        <v>20</v>
      </c>
      <c r="B26" s="5" t="s">
        <v>113</v>
      </c>
      <c r="C26" s="5" t="s">
        <v>203</v>
      </c>
      <c r="D26" s="9"/>
    </row>
    <row r="27" spans="1:4" x14ac:dyDescent="0.3">
      <c r="A27" s="5" t="s">
        <v>20</v>
      </c>
      <c r="B27" s="5" t="s">
        <v>68</v>
      </c>
      <c r="C27" s="6" t="s">
        <v>185</v>
      </c>
      <c r="D27" s="6"/>
    </row>
    <row r="28" spans="1:4" x14ac:dyDescent="0.3">
      <c r="A28" s="4" t="s">
        <v>25</v>
      </c>
      <c r="B28" s="4" t="s">
        <v>100</v>
      </c>
      <c r="C28" s="4" t="s">
        <v>193</v>
      </c>
      <c r="D28" s="9"/>
    </row>
    <row r="29" spans="1:4" x14ac:dyDescent="0.3">
      <c r="A29" s="4" t="s">
        <v>25</v>
      </c>
      <c r="B29" s="4" t="s">
        <v>97</v>
      </c>
      <c r="C29" s="4" t="s">
        <v>194</v>
      </c>
      <c r="D29" s="9"/>
    </row>
    <row r="30" spans="1:4" x14ac:dyDescent="0.3">
      <c r="A30" s="4" t="s">
        <v>25</v>
      </c>
      <c r="B30" s="4" t="s">
        <v>90</v>
      </c>
      <c r="C30" s="4" t="s">
        <v>195</v>
      </c>
      <c r="D30" s="9"/>
    </row>
    <row r="31" spans="1:4" x14ac:dyDescent="0.3">
      <c r="A31" s="4" t="s">
        <v>25</v>
      </c>
      <c r="B31" s="4" t="s">
        <v>92</v>
      </c>
      <c r="C31" s="4" t="s">
        <v>196</v>
      </c>
      <c r="D31" s="9"/>
    </row>
    <row r="32" spans="1:4" x14ac:dyDescent="0.3">
      <c r="A32" s="4" t="s">
        <v>25</v>
      </c>
      <c r="B32" s="4" t="s">
        <v>94</v>
      </c>
      <c r="C32" s="4" t="s">
        <v>197</v>
      </c>
      <c r="D32" s="9"/>
    </row>
    <row r="33" spans="1:4" x14ac:dyDescent="0.3">
      <c r="A33" s="4" t="s">
        <v>25</v>
      </c>
      <c r="B33" s="4" t="s">
        <v>118</v>
      </c>
      <c r="C33" s="6" t="s">
        <v>204</v>
      </c>
      <c r="D33" s="7"/>
    </row>
    <row r="34" spans="1:4" x14ac:dyDescent="0.3">
      <c r="A34" s="4" t="s">
        <v>25</v>
      </c>
      <c r="B34" s="4" t="s">
        <v>74</v>
      </c>
      <c r="C34" s="6" t="s">
        <v>189</v>
      </c>
      <c r="D34" s="7"/>
    </row>
    <row r="35" spans="1:4" x14ac:dyDescent="0.3">
      <c r="A35" s="4" t="s">
        <v>25</v>
      </c>
      <c r="B35" s="4" t="s">
        <v>122</v>
      </c>
      <c r="C35" s="6" t="s">
        <v>205</v>
      </c>
      <c r="D35" s="7"/>
    </row>
    <row r="36" spans="1:4" x14ac:dyDescent="0.3">
      <c r="A36" s="4" t="s">
        <v>25</v>
      </c>
      <c r="B36" s="4" t="s">
        <v>124</v>
      </c>
      <c r="C36" s="6" t="s">
        <v>206</v>
      </c>
      <c r="D36" s="7"/>
    </row>
    <row r="37" spans="1:4" x14ac:dyDescent="0.3">
      <c r="A37" s="4" t="s">
        <v>25</v>
      </c>
      <c r="B37" s="4" t="s">
        <v>68</v>
      </c>
      <c r="C37" s="6" t="s">
        <v>185</v>
      </c>
      <c r="D37" s="6"/>
    </row>
    <row r="38" spans="1:4" x14ac:dyDescent="0.3">
      <c r="A38" s="5" t="s">
        <v>30</v>
      </c>
      <c r="B38" s="5" t="s">
        <v>134</v>
      </c>
      <c r="C38" s="6" t="s">
        <v>207</v>
      </c>
      <c r="D38" s="7"/>
    </row>
    <row r="39" spans="1:4" x14ac:dyDescent="0.3">
      <c r="A39" s="5" t="s">
        <v>30</v>
      </c>
      <c r="B39" s="5" t="s">
        <v>68</v>
      </c>
      <c r="C39" s="6" t="s">
        <v>185</v>
      </c>
      <c r="D39" s="6"/>
    </row>
    <row r="40" spans="1:4" x14ac:dyDescent="0.3">
      <c r="A40" s="4" t="s">
        <v>33</v>
      </c>
      <c r="B40" s="4" t="s">
        <v>68</v>
      </c>
      <c r="C40" s="6" t="s">
        <v>185</v>
      </c>
      <c r="D40" s="6"/>
    </row>
    <row r="41" spans="1:4" x14ac:dyDescent="0.3">
      <c r="A41" s="5" t="s">
        <v>38</v>
      </c>
      <c r="B41" s="5" t="s">
        <v>139</v>
      </c>
      <c r="C41" s="5" t="s">
        <v>208</v>
      </c>
      <c r="D41" s="9"/>
    </row>
    <row r="42" spans="1:4" x14ac:dyDescent="0.3">
      <c r="A42" s="4" t="s">
        <v>41</v>
      </c>
      <c r="B42" s="4" t="s">
        <v>70</v>
      </c>
      <c r="C42" s="4" t="s">
        <v>186</v>
      </c>
      <c r="D42" s="9"/>
    </row>
    <row r="43" spans="1:4" x14ac:dyDescent="0.3">
      <c r="A43" s="4" t="s">
        <v>41</v>
      </c>
      <c r="B43" s="4" t="s">
        <v>76</v>
      </c>
      <c r="C43" s="4" t="s">
        <v>188</v>
      </c>
      <c r="D43" s="9"/>
    </row>
    <row r="44" spans="1:4" x14ac:dyDescent="0.3">
      <c r="A44" s="4" t="s">
        <v>41</v>
      </c>
      <c r="B44" s="4" t="s">
        <v>74</v>
      </c>
      <c r="C44" s="6" t="s">
        <v>189</v>
      </c>
      <c r="D44" s="7"/>
    </row>
    <row r="45" spans="1:4" x14ac:dyDescent="0.3">
      <c r="A45" s="4" t="s">
        <v>41</v>
      </c>
      <c r="B45" s="4" t="s">
        <v>72</v>
      </c>
      <c r="C45" s="6" t="s">
        <v>209</v>
      </c>
      <c r="D45" s="7"/>
    </row>
    <row r="46" spans="1:4" x14ac:dyDescent="0.3">
      <c r="A46" s="4" t="s">
        <v>41</v>
      </c>
      <c r="B46" s="4" t="s">
        <v>80</v>
      </c>
      <c r="C46" s="6" t="s">
        <v>190</v>
      </c>
      <c r="D46" s="7"/>
    </row>
    <row r="47" spans="1:4" x14ac:dyDescent="0.3">
      <c r="A47" s="4" t="s">
        <v>41</v>
      </c>
      <c r="B47" s="4" t="s">
        <v>82</v>
      </c>
      <c r="C47" s="6" t="s">
        <v>191</v>
      </c>
      <c r="D47" s="7"/>
    </row>
    <row r="48" spans="1:4" x14ac:dyDescent="0.3">
      <c r="A48" s="4" t="s">
        <v>41</v>
      </c>
      <c r="B48" s="4" t="s">
        <v>78</v>
      </c>
      <c r="C48" s="6" t="s">
        <v>192</v>
      </c>
      <c r="D48" s="7"/>
    </row>
    <row r="49" spans="1:4" x14ac:dyDescent="0.3">
      <c r="A49" s="4" t="s">
        <v>41</v>
      </c>
      <c r="B49" s="4" t="s">
        <v>68</v>
      </c>
      <c r="C49" s="6" t="s">
        <v>185</v>
      </c>
      <c r="D49" s="6"/>
    </row>
    <row r="50" spans="1:4" x14ac:dyDescent="0.3">
      <c r="A50" s="5" t="s">
        <v>46</v>
      </c>
      <c r="B50" s="5" t="s">
        <v>173</v>
      </c>
      <c r="C50" s="5" t="s">
        <v>210</v>
      </c>
      <c r="D50" s="9"/>
    </row>
    <row r="51" spans="1:4" x14ac:dyDescent="0.3">
      <c r="A51" s="5" t="s">
        <v>46</v>
      </c>
      <c r="B51" s="5" t="s">
        <v>176</v>
      </c>
      <c r="C51" s="5" t="s">
        <v>211</v>
      </c>
      <c r="D51" s="9"/>
    </row>
    <row r="52" spans="1:4" x14ac:dyDescent="0.3">
      <c r="A52" s="5" t="s">
        <v>46</v>
      </c>
      <c r="B52" s="5" t="s">
        <v>151</v>
      </c>
      <c r="C52" s="5" t="s">
        <v>212</v>
      </c>
      <c r="D52" s="9"/>
    </row>
    <row r="53" spans="1:4" x14ac:dyDescent="0.3">
      <c r="A53" s="5" t="s">
        <v>46</v>
      </c>
      <c r="B53" s="5" t="s">
        <v>153</v>
      </c>
      <c r="C53" s="5" t="s">
        <v>213</v>
      </c>
      <c r="D53" s="9"/>
    </row>
    <row r="54" spans="1:4" x14ac:dyDescent="0.3">
      <c r="A54" s="5" t="s">
        <v>46</v>
      </c>
      <c r="B54" s="5" t="s">
        <v>155</v>
      </c>
      <c r="C54" s="5" t="s">
        <v>214</v>
      </c>
      <c r="D54" s="9"/>
    </row>
    <row r="55" spans="1:4" x14ac:dyDescent="0.3">
      <c r="A55" s="5" t="s">
        <v>46</v>
      </c>
      <c r="B55" s="5" t="s">
        <v>157</v>
      </c>
      <c r="C55" s="5" t="s">
        <v>215</v>
      </c>
      <c r="D55" s="9"/>
    </row>
    <row r="56" spans="1:4" x14ac:dyDescent="0.3">
      <c r="A56" s="5" t="s">
        <v>46</v>
      </c>
      <c r="B56" s="5" t="s">
        <v>159</v>
      </c>
      <c r="C56" s="5" t="s">
        <v>216</v>
      </c>
      <c r="D56" s="9"/>
    </row>
    <row r="57" spans="1:4" x14ac:dyDescent="0.3">
      <c r="A57" s="5" t="s">
        <v>46</v>
      </c>
      <c r="B57" s="5" t="s">
        <v>161</v>
      </c>
      <c r="C57" s="5" t="s">
        <v>217</v>
      </c>
      <c r="D57" s="9"/>
    </row>
    <row r="58" spans="1:4" x14ac:dyDescent="0.3">
      <c r="A58" s="5" t="s">
        <v>46</v>
      </c>
      <c r="B58" s="5" t="s">
        <v>82</v>
      </c>
      <c r="C58" s="5" t="s">
        <v>218</v>
      </c>
      <c r="D58" s="9"/>
    </row>
    <row r="59" spans="1:4" x14ac:dyDescent="0.3">
      <c r="A59" s="5" t="s">
        <v>46</v>
      </c>
      <c r="B59" s="5" t="s">
        <v>164</v>
      </c>
      <c r="C59" s="6" t="s">
        <v>219</v>
      </c>
      <c r="D59" s="6"/>
    </row>
    <row r="60" spans="1:4" x14ac:dyDescent="0.3">
      <c r="A60" s="5" t="s">
        <v>46</v>
      </c>
      <c r="B60" s="5" t="s">
        <v>166</v>
      </c>
      <c r="C60" s="6" t="s">
        <v>220</v>
      </c>
      <c r="D60" s="7"/>
    </row>
    <row r="61" spans="1:4" x14ac:dyDescent="0.3">
      <c r="A61" s="5" t="s">
        <v>46</v>
      </c>
      <c r="B61" s="5" t="s">
        <v>170</v>
      </c>
      <c r="C61" s="6" t="s">
        <v>221</v>
      </c>
      <c r="D61" s="7"/>
    </row>
    <row r="62" spans="1:4" x14ac:dyDescent="0.3">
      <c r="A62" s="5" t="s">
        <v>46</v>
      </c>
      <c r="B62" s="5" t="s">
        <v>168</v>
      </c>
      <c r="C62" s="6" t="s">
        <v>222</v>
      </c>
      <c r="D62" s="7"/>
    </row>
    <row r="63" spans="1:4" x14ac:dyDescent="0.3">
      <c r="A63" s="5" t="s">
        <v>46</v>
      </c>
      <c r="B63" s="5" t="s">
        <v>68</v>
      </c>
      <c r="C63" s="6" t="s">
        <v>185</v>
      </c>
      <c r="D63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223</v>
      </c>
      <c r="C1" s="1" t="s">
        <v>224</v>
      </c>
    </row>
    <row r="2" spans="1:3" x14ac:dyDescent="0.3">
      <c r="A2" t="s">
        <v>5</v>
      </c>
      <c r="B2">
        <v>246</v>
      </c>
      <c r="C2">
        <v>2.2345799952745441E-2</v>
      </c>
    </row>
    <row r="3" spans="1:3" x14ac:dyDescent="0.3">
      <c r="A3" t="s">
        <v>12</v>
      </c>
      <c r="B3">
        <v>211</v>
      </c>
      <c r="C3">
        <v>3.7415899918414652E-2</v>
      </c>
    </row>
    <row r="4" spans="1:3" x14ac:dyDescent="0.3">
      <c r="A4" t="s">
        <v>17</v>
      </c>
      <c r="B4">
        <v>240</v>
      </c>
      <c r="C4">
        <v>4.2862000060267753E-2</v>
      </c>
    </row>
    <row r="5" spans="1:3" x14ac:dyDescent="0.3">
      <c r="A5" t="s">
        <v>20</v>
      </c>
      <c r="B5">
        <v>508</v>
      </c>
      <c r="C5">
        <v>0.101874400046654</v>
      </c>
    </row>
    <row r="6" spans="1:3" x14ac:dyDescent="0.3">
      <c r="A6" t="s">
        <v>25</v>
      </c>
      <c r="B6">
        <v>329</v>
      </c>
      <c r="C6">
        <v>0.12187520007137211</v>
      </c>
    </row>
    <row r="7" spans="1:3" x14ac:dyDescent="0.3">
      <c r="A7" t="s">
        <v>30</v>
      </c>
      <c r="B7">
        <v>144</v>
      </c>
      <c r="C7">
        <v>0.12292669981252401</v>
      </c>
    </row>
    <row r="8" spans="1:3" x14ac:dyDescent="0.3">
      <c r="A8" t="s">
        <v>33</v>
      </c>
      <c r="B8">
        <v>122</v>
      </c>
      <c r="C8">
        <v>0.12843190028797841</v>
      </c>
    </row>
    <row r="9" spans="1:3" x14ac:dyDescent="0.3">
      <c r="A9" t="s">
        <v>38</v>
      </c>
      <c r="B9">
        <v>356</v>
      </c>
      <c r="C9">
        <v>0.1423640002030879</v>
      </c>
    </row>
    <row r="10" spans="1:3" x14ac:dyDescent="0.3">
      <c r="A10" t="s">
        <v>41</v>
      </c>
      <c r="B10">
        <v>202</v>
      </c>
      <c r="C10">
        <v>0.15972870006226</v>
      </c>
    </row>
    <row r="11" spans="1:3" x14ac:dyDescent="0.3">
      <c r="A11" t="s">
        <v>46</v>
      </c>
      <c r="B11">
        <v>283</v>
      </c>
      <c r="C11">
        <v>0.18050210003275419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CWE 1245 Results</vt:lpstr>
      <vt:lpstr>CWE 1233 Results</vt:lpstr>
      <vt:lpstr>CWE 226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</cp:lastModifiedBy>
  <dcterms:created xsi:type="dcterms:W3CDTF">2025-10-09T13:32:16Z</dcterms:created>
  <dcterms:modified xsi:type="dcterms:W3CDTF">2025-10-09T20:05:56Z</dcterms:modified>
</cp:coreProperties>
</file>