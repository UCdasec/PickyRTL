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arks\OneDrive\Documents\UC\Research\DetectRTL\CWE_Detection\Results\9-24-test-runs\"/>
    </mc:Choice>
  </mc:AlternateContent>
  <xr:revisionPtr revIDLastSave="0" documentId="13_ncr:1_{4A81219D-4821-43E3-B7B2-270D97801161}" xr6:coauthVersionLast="47" xr6:coauthVersionMax="47" xr10:uidLastSave="{00000000-0000-0000-0000-000000000000}"/>
  <bookViews>
    <workbookView xWindow="-108" yWindow="-108" windowWidth="23256" windowHeight="13896" firstSheet="1" activeTab="2" xr2:uid="{00000000-000D-0000-FFFF-FFFF00000000}"/>
  </bookViews>
  <sheets>
    <sheet name="CWE 1245 Results" sheetId="1" r:id="rId1"/>
    <sheet name="CWE 1233 Results" sheetId="2" r:id="rId2"/>
    <sheet name="Detailed Results" sheetId="3" r:id="rId3"/>
    <sheet name="Detection Statistic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3" l="1"/>
  <c r="L4" i="3"/>
  <c r="L5" i="3"/>
  <c r="L6" i="3"/>
  <c r="L7" i="3"/>
  <c r="L8" i="3"/>
  <c r="L9" i="3"/>
  <c r="L10" i="3"/>
  <c r="L11" i="3"/>
  <c r="L12" i="3"/>
  <c r="J13" i="3" l="1"/>
  <c r="I13" i="3"/>
  <c r="L13" i="3" s="1"/>
  <c r="H13" i="3"/>
  <c r="K3" i="3"/>
  <c r="K4" i="3"/>
  <c r="K5" i="3"/>
  <c r="K6" i="3"/>
  <c r="K7" i="3"/>
  <c r="K8" i="3"/>
  <c r="K9" i="3"/>
  <c r="K10" i="3"/>
  <c r="K11" i="3"/>
  <c r="K12" i="3"/>
  <c r="K13" i="3" l="1"/>
</calcChain>
</file>

<file path=xl/sharedStrings.xml><?xml version="1.0" encoding="utf-8"?>
<sst xmlns="http://schemas.openxmlformats.org/spreadsheetml/2006/main" count="451" uniqueCount="103">
  <si>
    <t>File Name</t>
  </si>
  <si>
    <t>Case Number</t>
  </si>
  <si>
    <t>State Coverage</t>
  </si>
  <si>
    <t>Unreachable States</t>
  </si>
  <si>
    <t>Deadlocks</t>
  </si>
  <si>
    <t>CWE_1233_example_10_vulnerable_parsed.json</t>
  </si>
  <si>
    <t>Secure: Default state covers rest of possible values</t>
  </si>
  <si>
    <t>Inconclusive: [0, 1, 2, 3, 4, 5, 6, 7, 8, 14, 15, 16, 17, 18, 19, 20, 21, 22, 23, 24, 25, 26] state(s) may not be reachable, but state variable is mapped to axi_lite_interface; transitions may be externally controlled and not visible in this scope</t>
  </si>
  <si>
    <t>Inconclusive: Possible deadlock(s) in [1, 3, 5, 7, 14, 16, 18, 20, 22, 24, 26, 'default'] state(s), but state variable is mapped to axi_lite_interface; transitions may be externally controlled and not visible in this scope</t>
  </si>
  <si>
    <t>Inconclusive: [0, 1, 2, 3, 4, 9, 10, 11, 12, 13] state(s) may not be reachable, but state variable is mapped to axi_lite_interface; transitions may be externally controlled and not visible in this scope</t>
  </si>
  <si>
    <t>Inconclusive: Possible deadlock(s) in [1, 3, 9, 11, 13, 'default'] state(s), but state variable is mapped to axi_lite_interface; transitions may be externally controlled and not visible in this scope</t>
  </si>
  <si>
    <t>CWE_1233_example_1_vulnerable_parsed.json</t>
  </si>
  <si>
    <t>Inconclusive: [0, 1, 2, 3, 4, 5, 6, 7, 8] state(s) may not be reachable, but state variable is mapped to axi_lite_interface; transitions may be externally controlled and not visible in this scope</t>
  </si>
  <si>
    <t>Inconclusive: Possible deadlock(s) in [1, 3, 5, 7, 'default'] state(s), but state variable is mapped to axi_lite_interface; transitions may be externally controlled and not visible in this scope</t>
  </si>
  <si>
    <t>Inconclusive: [0, 1, 2, 3, 4, 5, 6, 7, 8, 9] state(s) may not be reachable, but state variable is mapped to axi_lite_interface; transitions may be externally controlled and not visible in this scope</t>
  </si>
  <si>
    <t>Inconclusive: Possible deadlock(s) in [1, 3, 5, 7, 9, 'default'] state(s), but state variable is mapped to axi_lite_interface; transitions may be externally controlled and not visible in this scope</t>
  </si>
  <si>
    <t>CWE_1233_example_2_vulnerable_parsed.json</t>
  </si>
  <si>
    <t>Inconclusive: [0, 1, 2, 3, 4, 5, 6, 7, 8, 9, 10, 11, 12, 13, 14, 15, 16, 26, 27, 28, 29, 30, 31, 32, 33, 34, 35, 36, 37, 38, 39, 40, 41, 42, 43, 44, 45, 46, 47, 48, 49] state(s) may not be reachable, but state variable is mapped to axi_lite_interface; transitions may be externally controlled and not visible in this scope</t>
  </si>
  <si>
    <t>Inconclusive: Possible deadlock(s) in [1, 3, 5, 7, 9, 11, 13, 15, 26, 28, 30, 32, 34, 36, 38, 40, 42, 44, 46, 48, 'default'] state(s), but state variable is mapped to axi_lite_interface; transitions may be externally controlled and not visible in this scope</t>
  </si>
  <si>
    <t>Inconclusive: [0, 1, 2, 3, 4, 5, 6, 7, 8, 9, 10, 11, 12, 13, 14, 15, 16, 17, 18, 19, 20, 21, 22, 23, 24, 25, 34, 35, 36, 37, 38, 39, 40, 41, 42, 43, 44, 45, 46, 47, 48, 49] state(s) may not be reachable, but state variable is mapped to axi_lite_interface; transitions may be externally controlled and not visible in this scope</t>
  </si>
  <si>
    <t>Inconclusive: Possible deadlock(s) in [1, 3, 5, 7, 9, 11, 13, 15, 17, 19, 21, 23, 25, 35, 37, 39, 41, 43, 45, 47, 49, 'default'] state(s), but state variable is mapped to axi_lite_interface; transitions may be externally controlled and not visible in this scope</t>
  </si>
  <si>
    <t>CWE_1233_example_3_vulnerable_parsed.json</t>
  </si>
  <si>
    <t>Inconclusive: ['CTRL_ENCDEC', 'CTRL_KEYLEN0', 'CTRL_KEYLEN1', 'CTRL_KEYLEN2', 'ADDR_CTRL', 'KEY_SEL'] state(s) may not be reachable, but state variable is mapped to axi_lite_interface; transitions may be externally controlled and not visible in this scope</t>
  </si>
  <si>
    <t>Inconclusive: Possible deadlock(s) in ['CTRL_KEYLEN0', 'CTRL_KEYLEN2', 'KEY_SEL', 'default'] state(s), but state variable is mapped to axi_lite_interface; transitions may be externally controlled and not visible in this scope</t>
  </si>
  <si>
    <t>Inconclusive: ['ADDR_NAME0', 'ADDR_NAME1', 'ADDR_VERSION', 'ADDR_CTRL', 'ADDR_STATUS', 'ADDR_RESULT0', 'ADDR_RESULT1', 'ADDR_RESULT2', 'ADDR_RESULT3'] state(s) may not be reachable, but state variable is mapped to axi_lite_interface; transitions may be externally controlled and not visible in this scope</t>
  </si>
  <si>
    <t>Inconclusive: Possible deadlock(s) in ['ADDR_NAME1', 'ADDR_CTRL', 'ADDR_RESULT0', 'ADDR_RESULT2', 'default'] state(s), but state variable is mapped to axi_lite_interface; transitions may be externally controlled and not visible in this scope</t>
  </si>
  <si>
    <t>CWE_1233_example_4_vulnerable_parsed.json</t>
  </si>
  <si>
    <t>Inconclusive: [0, 1] state(s) may not be reachable, but state variable is mapped to axi_lite_interface; transitions may be externally controlled and not visible in this scope</t>
  </si>
  <si>
    <t>Inconclusive: Possible deadlock(s) in [1, 'default'] state(s), but state variable is mapped to axi_lite_interface; transitions may be externally controlled and not visible in this scope</t>
  </si>
  <si>
    <t>Inconclusive: [0, 1, 2, 3, 4] state(s) may not be reachable, but state variable is mapped to axi_lite_interface; transitions may be externally controlled and not visible in this scope</t>
  </si>
  <si>
    <t>Inconclusive: Possible deadlock(s) in [1, 3, 'default'] state(s), but state variable is mapped to axi_lite_interface; transitions may be externally controlled and not visible in this scope</t>
  </si>
  <si>
    <t>CWE_1233_example_5_vulnerable_parsed.json</t>
  </si>
  <si>
    <t>CWE_1233_example_6_vulnerable_parsed.json</t>
  </si>
  <si>
    <t>Inconclusive: [4, 5, 6, 7, 8, 9, 10, 11] state(s) may not be reachable, but state variable is mapped to axi_lite_interface; transitions may be externally controlled and not visible in this scope</t>
  </si>
  <si>
    <t>Inconclusive: Possible deadlock(s) in [5, 7, 9, 11, 'default'] state(s), but state variable is mapped to axi_lite_interface; transitions may be externally controlled and not visible in this scope</t>
  </si>
  <si>
    <t>Inconclusive: [0, 1, 2, 3, 4, 5, 6, 7, 8, 9, 10, 11, 12, 13, 14, 15, 16, 17, 18, 19, 20, 21, 22, 23, 24, 25] state(s) may not be reachable, but state variable is mapped to axi_lite_interface; transitions may be externally controlled and not visible in this scope</t>
  </si>
  <si>
    <t>Inconclusive: Possible deadlock(s) in [1, 3, 5, 7, 9, 11, 13, 15, 17, 19, 21, 23, 25, 'default'] state(s), but state variable is mapped to axi_lite_interface; transitions may be externally controlled and not visible in this scope</t>
  </si>
  <si>
    <t>CWE_1233_example_7_vulnerable_parsed.json</t>
  </si>
  <si>
    <t>Inconclusive: 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130] state(s) may not be reachable, but state variable is mapped to axi_lite_interface; transitions may be externally controlled and not visible in this scope</t>
  </si>
  <si>
    <t>Inconclusive: Possible deadlock(s) in [1, 3, 5, 7, 9, 11, 13, 15, 17, 19, 21, 23, 25, 27, 29, 31, 33, 35, 37, 39, 41, 43, 45, 47, 49, 51, 53, 55, 57, 59, 61, 63, 65, 67, 69, 71, 73, 75, 77, 79, 81, 83, 85, 87, 89, 91, 93, 95, 97, 99, 101, 103, 105, 107, 109, 111, 113, 115, 117, 119, 121, 123, 125, 127, 129, 'default'] state(s), but state variable is mapped to axi_lite_interface; transitions may be externally controlled and not visible in this scope</t>
  </si>
  <si>
    <t>Inconclusive: [131,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195] state(s) may not be reachable, but state variable is mapped to axi_lite_interface; transitions may be externally controlled and not visible in this scope</t>
  </si>
  <si>
    <t>Inconclusive: Possible deadlock(s) in [132, 134, 136, 138, 140, 142, 144, 146, 148, 150, 152, 154, 156, 158, 160, 162, 164, 166, 168, 170, 172, 174, 176, 178, 180, 182, 184, 186, 188, 190, 192, 194, 'default'] state(s), but state variable is mapped to axi_lite_interface; transitions may be externally controlled and not visible in this scope</t>
  </si>
  <si>
    <t>CWE_1233_example_8_vulnerable_parsed.json</t>
  </si>
  <si>
    <t>Inconclusive: [0, 1, 2, 3, 4, 5, 6, 7, 8, 9, 10, 11, 12, 13, 14, 15, 16] state(s) may not be reachable, but state variable is mapped to axi_lite_interface; transitions may be externally controlled and not visible in this scope</t>
  </si>
  <si>
    <t>Inconclusive: Possible deadlock(s) in [1, 3, 5, 7, 9, 11, 13, 15, 'default'] state(s), but state variable is mapped to axi_lite_interface; transitions may be externally controlled and not visible in this scope</t>
  </si>
  <si>
    <t>CWE_1233_example_9_vulnerable_parsed.json</t>
  </si>
  <si>
    <t>Inconclusive: [0, 1, 2, 3, 4, 5, 6, 7, 8, 9, 10, 16, 17, 18, 19, 20, 21, 22, 23, 24, 25, 26, 27, 28, 29, 30, 31, 32] state(s) may not be reachable, but state variable is mapped to axi_lite_interface; transitions may be externally controlled and not visible in this scope</t>
  </si>
  <si>
    <t>Inconclusive: Possible deadlock(s) in [1, 3, 5, 7, 9, 16, 18, 20, 22, 24, 26, 28, 30, 32, 'default'] state(s), but state variable is mapped to axi_lite_interface; transitions may be externally controlled and not visible in this scope</t>
  </si>
  <si>
    <t>Inconclusive: [0, 1, 2, 3, 4, 11, 12, 13, 14, 15] state(s) may not be reachable, but state variable is mapped to axi_lite_interface; transitions may be externally controlled and not visible in this scope</t>
  </si>
  <si>
    <t>Inconclusive: Possible deadlock(s) in [1, 3, 11, 13, 15, 'default'] state(s), but state variable is mapped to axi_lite_interface; transitions may be externally controlled and not visible in this scope</t>
  </si>
  <si>
    <t>Total</t>
  </si>
  <si>
    <t>{'Secure': 20, 'Vulnerable': 0, 'Inconclusive': 0}</t>
  </si>
  <si>
    <t>{'Secure': 0, 'Vulnerable': 0, 'Inconclusive': 20}</t>
  </si>
  <si>
    <t>Security Sensitive Registers</t>
  </si>
  <si>
    <t>Lock Enforcement</t>
  </si>
  <si>
    <t>Security Sensitive Register Coverage</t>
  </si>
  <si>
    <t>['p_c', 'key0', 'state', 'key1', 'key2', 'rdata', 'start', 'key_sel']</t>
  </si>
  <si>
    <t>Secure: All security sensitive register assignments are protected</t>
  </si>
  <si>
    <t>Vulnerable: ['p_c', 'state', 'rdata', 'start', 'key_sel'] assignment(s) not protected</t>
  </si>
  <si>
    <t>['rdata']</t>
  </si>
  <si>
    <t>Vulnerable: ['rdata'] assignment(s) not protected</t>
  </si>
  <si>
    <t>['startHash', 'newMessage', 'key_hash_bypass', 'data', 'key0', 'ikey_hash_bytes', 'okey_hash_bytes', 'rdata']</t>
  </si>
  <si>
    <t>Vulnerable: ['data'] assignment(s) are not correctly enforced and allow unauthorized writes</t>
  </si>
  <si>
    <t>['encdec_reg', 'keylen_reg0', 'keylen_reg1', 'keylen_reg2', 'init_reg', 'next_reg', 'key_sel', 'rdata']</t>
  </si>
  <si>
    <t>['acct_mem', 'rdata']</t>
  </si>
  <si>
    <t>Vulnerable: ['acct_mem', 'rdata'] assignment(s) not protected</t>
  </si>
  <si>
    <t>['poly128', 'poly64', 'poly32_big', 'poly16_big', 'rdata']</t>
  </si>
  <si>
    <t>Vulnerable: ['poly128', 'poly64', 'poly32_big', 'poly16_big', 'rdata'] assignment(s) not protected</t>
  </si>
  <si>
    <t>['inter_rst_ni', 'inter_rst1_ni', 'encry_decry_i', 'prime_i', 'prime1_i', 'rdata']</t>
  </si>
  <si>
    <t>['data', 'rdata', 'startHash', 'newMessage']</t>
  </si>
  <si>
    <t>Vulnerable: ['startHash', 'newMessage'] assignment(s) not protected</t>
  </si>
  <si>
    <t>['start', 'p_c', 'key0', 'state', 'key1', 'key2', 'key_sel', 'rdata']</t>
  </si>
  <si>
    <t>Related CWE</t>
  </si>
  <si>
    <t>Vulnerability Type</t>
  </si>
  <si>
    <t>Line Number</t>
  </si>
  <si>
    <t>Description</t>
  </si>
  <si>
    <t>CWE-1233</t>
  </si>
  <si>
    <t>Assignment Missing Lock Bit Protection</t>
  </si>
  <si>
    <t>p_c is assigned without lock bit protection</t>
  </si>
  <si>
    <t>state is assigned without lock bit protection</t>
  </si>
  <si>
    <t>rdata is assigned without lock bit protection</t>
  </si>
  <si>
    <t>start is assigned without lock bit protection</t>
  </si>
  <si>
    <t>key_sel is assigned without lock bit protection</t>
  </si>
  <si>
    <t>Incorrect Lock Enforcement</t>
  </si>
  <si>
    <t>data is assigned without correct lock bit enforcement</t>
  </si>
  <si>
    <t>acct_mem is assigned without lock bit protection</t>
  </si>
  <si>
    <t>poly128 is assigned without lock bit protection</t>
  </si>
  <si>
    <t>poly64 is assigned without lock bit protection</t>
  </si>
  <si>
    <t>poly32_big is assigned without lock bit protection</t>
  </si>
  <si>
    <t>poly16_big is assigned without lock bit protection</t>
  </si>
  <si>
    <t>startHash is assigned without lock bit protection</t>
  </si>
  <si>
    <t>newMessage is assigned without lock bit protection</t>
  </si>
  <si>
    <t>LoC</t>
  </si>
  <si>
    <t>Detection Time</t>
  </si>
  <si>
    <t>why is it showing up twice</t>
  </si>
  <si>
    <t>The assignment has a debug check first to see if it needs the register lock bit proetection</t>
  </si>
  <si>
    <t>showing up twice</t>
  </si>
  <si>
    <t>TP</t>
  </si>
  <si>
    <t>FP</t>
  </si>
  <si>
    <t>FN</t>
  </si>
  <si>
    <t>File</t>
  </si>
  <si>
    <t>Recall</t>
  </si>
  <si>
    <t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</si>
</sst>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0" borderId="0" xfId="0" applyFont="1"/>
  </cellXfs>
  <cellStyles count="1">
    <cellStyle name="Normal" xfId="0" builtinId="0"/>
  </cellStyles>
  <dxfs count="8"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0C075D-91A1-4B08-AE24-09C44B0782CB}" name="Table1" displayName="Table1" ref="G2:L13" totalsRowShown="0" headerRowDxfId="7" dataDxfId="6">
  <autoFilter ref="G2:L13" xr:uid="{A30C075D-91A1-4B08-AE24-09C44B0782CB}"/>
  <tableColumns count="6">
    <tableColumn id="1" xr3:uid="{F0B56183-0883-4477-982B-ED733835B254}" name="File" dataDxfId="5"/>
    <tableColumn id="2" xr3:uid="{38165232-B238-4C1D-BF1D-BFBCE6CFC735}" name="TP" dataDxfId="4"/>
    <tableColumn id="3" xr3:uid="{C159D0FA-219C-470B-8708-8B06E07B175F}" name="FP" dataDxfId="3"/>
    <tableColumn id="4" xr3:uid="{AFC334C6-19AB-4010-9655-19C945FA6913}" name="FN" dataDxfId="2"/>
    <tableColumn id="6" xr3:uid="{BBB11438-BBE9-4D8E-ACA5-558AB75A5CD9}" name="Recall" dataDxfId="1">
      <calculatedColumnFormula>H3/(H3+J3)</calculatedColumnFormula>
    </tableColumn>
    <tableColumn id="7" xr3:uid="{45857AE5-AC39-45F7-889C-DC30563AD532}" name="Precision" dataDxfId="0">
      <calculatedColumnFormula>H3/(I3+H3)</calculatedColumnFormula>
    </tableColumn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1</v>
      </c>
      <c r="C2" t="s">
        <v>6</v>
      </c>
      <c r="D2" t="s">
        <v>7</v>
      </c>
      <c r="E2" t="s">
        <v>8</v>
      </c>
    </row>
    <row r="3" spans="1:5" x14ac:dyDescent="0.3">
      <c r="A3" t="s">
        <v>5</v>
      </c>
      <c r="B3">
        <v>2</v>
      </c>
      <c r="C3" t="s">
        <v>6</v>
      </c>
      <c r="D3" t="s">
        <v>9</v>
      </c>
      <c r="E3" t="s">
        <v>10</v>
      </c>
    </row>
    <row r="4" spans="1:5" x14ac:dyDescent="0.3">
      <c r="A4" t="s">
        <v>11</v>
      </c>
      <c r="B4">
        <v>1</v>
      </c>
      <c r="C4" t="s">
        <v>6</v>
      </c>
      <c r="D4" t="s">
        <v>12</v>
      </c>
      <c r="E4" t="s">
        <v>13</v>
      </c>
    </row>
    <row r="5" spans="1:5" x14ac:dyDescent="0.3">
      <c r="A5" t="s">
        <v>11</v>
      </c>
      <c r="B5">
        <v>2</v>
      </c>
      <c r="C5" t="s">
        <v>6</v>
      </c>
      <c r="D5" t="s">
        <v>14</v>
      </c>
      <c r="E5" t="s">
        <v>15</v>
      </c>
    </row>
    <row r="6" spans="1:5" x14ac:dyDescent="0.3">
      <c r="A6" t="s">
        <v>16</v>
      </c>
      <c r="B6">
        <v>1</v>
      </c>
      <c r="C6" t="s">
        <v>6</v>
      </c>
      <c r="D6" t="s">
        <v>17</v>
      </c>
      <c r="E6" t="s">
        <v>18</v>
      </c>
    </row>
    <row r="7" spans="1:5" x14ac:dyDescent="0.3">
      <c r="A7" t="s">
        <v>16</v>
      </c>
      <c r="B7">
        <v>2</v>
      </c>
      <c r="C7" t="s">
        <v>6</v>
      </c>
      <c r="D7" t="s">
        <v>19</v>
      </c>
      <c r="E7" t="s">
        <v>20</v>
      </c>
    </row>
    <row r="8" spans="1:5" x14ac:dyDescent="0.3">
      <c r="A8" t="s">
        <v>21</v>
      </c>
      <c r="B8">
        <v>1</v>
      </c>
      <c r="C8" t="s">
        <v>6</v>
      </c>
      <c r="D8" t="s">
        <v>22</v>
      </c>
      <c r="E8" t="s">
        <v>23</v>
      </c>
    </row>
    <row r="9" spans="1:5" x14ac:dyDescent="0.3">
      <c r="A9" t="s">
        <v>21</v>
      </c>
      <c r="B9">
        <v>2</v>
      </c>
      <c r="C9" t="s">
        <v>6</v>
      </c>
      <c r="D9" t="s">
        <v>24</v>
      </c>
      <c r="E9" t="s">
        <v>25</v>
      </c>
    </row>
    <row r="10" spans="1:5" x14ac:dyDescent="0.3">
      <c r="A10" t="s">
        <v>26</v>
      </c>
      <c r="B10">
        <v>1</v>
      </c>
      <c r="C10" t="s">
        <v>6</v>
      </c>
      <c r="D10" t="s">
        <v>27</v>
      </c>
      <c r="E10" t="s">
        <v>28</v>
      </c>
    </row>
    <row r="11" spans="1:5" x14ac:dyDescent="0.3">
      <c r="A11" t="s">
        <v>26</v>
      </c>
      <c r="B11">
        <v>2</v>
      </c>
      <c r="C11" t="s">
        <v>6</v>
      </c>
      <c r="D11" t="s">
        <v>29</v>
      </c>
      <c r="E11" t="s">
        <v>30</v>
      </c>
    </row>
    <row r="12" spans="1:5" x14ac:dyDescent="0.3">
      <c r="A12" t="s">
        <v>31</v>
      </c>
      <c r="B12">
        <v>1</v>
      </c>
      <c r="C12" t="s">
        <v>6</v>
      </c>
      <c r="D12" t="s">
        <v>14</v>
      </c>
      <c r="E12" t="s">
        <v>15</v>
      </c>
    </row>
    <row r="13" spans="1:5" x14ac:dyDescent="0.3">
      <c r="A13" t="s">
        <v>31</v>
      </c>
      <c r="B13">
        <v>2</v>
      </c>
      <c r="C13" t="s">
        <v>6</v>
      </c>
      <c r="D13" t="s">
        <v>14</v>
      </c>
      <c r="E13" t="s">
        <v>15</v>
      </c>
    </row>
    <row r="14" spans="1:5" x14ac:dyDescent="0.3">
      <c r="A14" t="s">
        <v>32</v>
      </c>
      <c r="B14">
        <v>1</v>
      </c>
      <c r="C14" t="s">
        <v>6</v>
      </c>
      <c r="D14" t="s">
        <v>33</v>
      </c>
      <c r="E14" t="s">
        <v>34</v>
      </c>
    </row>
    <row r="15" spans="1:5" x14ac:dyDescent="0.3">
      <c r="A15" t="s">
        <v>32</v>
      </c>
      <c r="B15">
        <v>2</v>
      </c>
      <c r="C15" t="s">
        <v>6</v>
      </c>
      <c r="D15" t="s">
        <v>35</v>
      </c>
      <c r="E15" t="s">
        <v>36</v>
      </c>
    </row>
    <row r="16" spans="1:5" x14ac:dyDescent="0.3">
      <c r="A16" t="s">
        <v>37</v>
      </c>
      <c r="B16">
        <v>1</v>
      </c>
      <c r="C16" t="s">
        <v>6</v>
      </c>
      <c r="D16" t="s">
        <v>38</v>
      </c>
      <c r="E16" t="s">
        <v>39</v>
      </c>
    </row>
    <row r="17" spans="1:5" x14ac:dyDescent="0.3">
      <c r="A17" t="s">
        <v>37</v>
      </c>
      <c r="B17">
        <v>2</v>
      </c>
      <c r="C17" t="s">
        <v>6</v>
      </c>
      <c r="D17" t="s">
        <v>40</v>
      </c>
      <c r="E17" t="s">
        <v>41</v>
      </c>
    </row>
    <row r="18" spans="1:5" x14ac:dyDescent="0.3">
      <c r="A18" t="s">
        <v>42</v>
      </c>
      <c r="B18">
        <v>1</v>
      </c>
      <c r="C18" t="s">
        <v>6</v>
      </c>
      <c r="D18" t="s">
        <v>43</v>
      </c>
      <c r="E18" t="s">
        <v>44</v>
      </c>
    </row>
    <row r="19" spans="1:5" x14ac:dyDescent="0.3">
      <c r="A19" t="s">
        <v>42</v>
      </c>
      <c r="B19">
        <v>2</v>
      </c>
      <c r="C19" t="s">
        <v>6</v>
      </c>
      <c r="D19" t="s">
        <v>35</v>
      </c>
      <c r="E19" t="s">
        <v>36</v>
      </c>
    </row>
    <row r="20" spans="1:5" x14ac:dyDescent="0.3">
      <c r="A20" t="s">
        <v>45</v>
      </c>
      <c r="B20">
        <v>1</v>
      </c>
      <c r="C20" t="s">
        <v>6</v>
      </c>
      <c r="D20" t="s">
        <v>46</v>
      </c>
      <c r="E20" t="s">
        <v>47</v>
      </c>
    </row>
    <row r="21" spans="1:5" x14ac:dyDescent="0.3">
      <c r="A21" t="s">
        <v>45</v>
      </c>
      <c r="B21">
        <v>2</v>
      </c>
      <c r="C21" t="s">
        <v>6</v>
      </c>
      <c r="D21" t="s">
        <v>48</v>
      </c>
      <c r="E21" t="s">
        <v>49</v>
      </c>
    </row>
    <row r="22" spans="1:5" x14ac:dyDescent="0.3">
      <c r="A22" t="s">
        <v>50</v>
      </c>
      <c r="B22">
        <v>20</v>
      </c>
      <c r="C22" t="s">
        <v>51</v>
      </c>
      <c r="D22" t="s">
        <v>52</v>
      </c>
      <c r="E22" t="s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>
      <selection activeCell="B3" sqref="B3"/>
    </sheetView>
  </sheetViews>
  <sheetFormatPr defaultRowHeight="14.4" x14ac:dyDescent="0.3"/>
  <cols>
    <col min="1" max="1" width="43.44140625" style="4" bestFit="1" customWidth="1"/>
    <col min="2" max="2" width="55" style="4" customWidth="1"/>
    <col min="3" max="3" width="31.77734375" style="4" customWidth="1"/>
    <col min="4" max="4" width="28.77734375" style="4" customWidth="1"/>
    <col min="5" max="16384" width="8.88671875" style="4"/>
  </cols>
  <sheetData>
    <row r="1" spans="1:4" ht="28.8" x14ac:dyDescent="0.3">
      <c r="A1" s="3" t="s">
        <v>0</v>
      </c>
      <c r="B1" s="3" t="s">
        <v>53</v>
      </c>
      <c r="C1" s="3" t="s">
        <v>54</v>
      </c>
      <c r="D1" s="3" t="s">
        <v>55</v>
      </c>
    </row>
    <row r="2" spans="1:4" ht="43.2" x14ac:dyDescent="0.3">
      <c r="A2" s="4" t="s">
        <v>5</v>
      </c>
      <c r="B2" s="4" t="s">
        <v>56</v>
      </c>
      <c r="C2" s="4" t="s">
        <v>57</v>
      </c>
      <c r="D2" s="4" t="s">
        <v>58</v>
      </c>
    </row>
    <row r="3" spans="1:4" ht="28.8" x14ac:dyDescent="0.3">
      <c r="A3" s="4" t="s">
        <v>11</v>
      </c>
      <c r="B3" s="4" t="s">
        <v>59</v>
      </c>
      <c r="C3" s="4" t="s">
        <v>57</v>
      </c>
      <c r="D3" s="4" t="s">
        <v>60</v>
      </c>
    </row>
    <row r="4" spans="1:4" ht="43.2" x14ac:dyDescent="0.3">
      <c r="A4" s="4" t="s">
        <v>16</v>
      </c>
      <c r="B4" s="4" t="s">
        <v>61</v>
      </c>
      <c r="C4" s="4" t="s">
        <v>62</v>
      </c>
      <c r="D4" s="4" t="s">
        <v>57</v>
      </c>
    </row>
    <row r="5" spans="1:4" ht="43.2" x14ac:dyDescent="0.3">
      <c r="A5" s="4" t="s">
        <v>21</v>
      </c>
      <c r="B5" s="4" t="s">
        <v>63</v>
      </c>
      <c r="C5" s="4" t="s">
        <v>57</v>
      </c>
      <c r="D5" s="4" t="s">
        <v>57</v>
      </c>
    </row>
    <row r="6" spans="1:4" ht="28.8" x14ac:dyDescent="0.3">
      <c r="A6" s="4" t="s">
        <v>26</v>
      </c>
      <c r="B6" s="4" t="s">
        <v>59</v>
      </c>
      <c r="C6" s="4" t="s">
        <v>57</v>
      </c>
      <c r="D6" s="4" t="s">
        <v>60</v>
      </c>
    </row>
    <row r="7" spans="1:4" ht="28.8" x14ac:dyDescent="0.3">
      <c r="A7" s="4" t="s">
        <v>31</v>
      </c>
      <c r="B7" s="4" t="s">
        <v>64</v>
      </c>
      <c r="C7" s="4" t="s">
        <v>57</v>
      </c>
      <c r="D7" s="4" t="s">
        <v>65</v>
      </c>
    </row>
    <row r="8" spans="1:4" ht="43.2" x14ac:dyDescent="0.3">
      <c r="A8" s="4" t="s">
        <v>32</v>
      </c>
      <c r="B8" s="4" t="s">
        <v>66</v>
      </c>
      <c r="C8" s="4" t="s">
        <v>57</v>
      </c>
      <c r="D8" s="4" t="s">
        <v>67</v>
      </c>
    </row>
    <row r="9" spans="1:4" ht="43.2" x14ac:dyDescent="0.3">
      <c r="A9" s="4" t="s">
        <v>37</v>
      </c>
      <c r="B9" s="4" t="s">
        <v>68</v>
      </c>
      <c r="C9" s="4" t="s">
        <v>57</v>
      </c>
      <c r="D9" s="4" t="s">
        <v>57</v>
      </c>
    </row>
    <row r="10" spans="1:4" ht="43.2" x14ac:dyDescent="0.3">
      <c r="A10" s="4" t="s">
        <v>42</v>
      </c>
      <c r="B10" s="4" t="s">
        <v>69</v>
      </c>
      <c r="C10" s="4" t="s">
        <v>62</v>
      </c>
      <c r="D10" s="4" t="s">
        <v>70</v>
      </c>
    </row>
    <row r="11" spans="1:4" ht="28.8" x14ac:dyDescent="0.3">
      <c r="A11" s="4" t="s">
        <v>45</v>
      </c>
      <c r="B11" s="4" t="s">
        <v>71</v>
      </c>
      <c r="C11" s="4" t="s">
        <v>57</v>
      </c>
      <c r="D11" s="4" t="s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78"/>
  <sheetViews>
    <sheetView tabSelected="1" zoomScaleNormal="100" workbookViewId="0">
      <pane xSplit="1" topLeftCell="E1" activePane="topRight" state="frozen"/>
      <selection pane="topRight" activeCell="J6" sqref="J6"/>
    </sheetView>
  </sheetViews>
  <sheetFormatPr defaultRowHeight="14.4" x14ac:dyDescent="0.3"/>
  <cols>
    <col min="1" max="1" width="41.33203125" bestFit="1" customWidth="1"/>
    <col min="2" max="2" width="12.109375" bestFit="1" customWidth="1"/>
    <col min="3" max="3" width="35.21875" bestFit="1" customWidth="1"/>
    <col min="4" max="4" width="12.109375" bestFit="1" customWidth="1"/>
    <col min="5" max="5" width="47.6640625" bestFit="1" customWidth="1"/>
    <col min="7" max="7" width="41.33203125" bestFit="1" customWidth="1"/>
    <col min="12" max="12" width="10.77734375" bestFit="1" customWidth="1"/>
    <col min="15" max="16" width="10.21875" customWidth="1"/>
  </cols>
  <sheetData>
    <row r="1" spans="1:12" x14ac:dyDescent="0.3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</row>
    <row r="2" spans="1:12" x14ac:dyDescent="0.3">
      <c r="A2" s="2" t="s">
        <v>5</v>
      </c>
      <c r="B2" s="2" t="s">
        <v>76</v>
      </c>
      <c r="C2" s="2" t="s">
        <v>77</v>
      </c>
      <c r="D2" s="2">
        <v>108</v>
      </c>
      <c r="E2" s="2" t="s">
        <v>78</v>
      </c>
      <c r="G2" t="s">
        <v>100</v>
      </c>
      <c r="H2" t="s">
        <v>97</v>
      </c>
      <c r="I2" t="s">
        <v>98</v>
      </c>
      <c r="J2" t="s">
        <v>99</v>
      </c>
      <c r="K2" t="s">
        <v>101</v>
      </c>
      <c r="L2" t="s">
        <v>102</v>
      </c>
    </row>
    <row r="3" spans="1:12" x14ac:dyDescent="0.3">
      <c r="A3" s="2" t="s">
        <v>5</v>
      </c>
      <c r="B3" s="2" t="s">
        <v>76</v>
      </c>
      <c r="C3" s="2" t="s">
        <v>77</v>
      </c>
      <c r="D3" s="2">
        <v>120</v>
      </c>
      <c r="E3" s="2" t="s">
        <v>79</v>
      </c>
      <c r="G3" t="s">
        <v>5</v>
      </c>
      <c r="H3">
        <v>4</v>
      </c>
      <c r="I3">
        <v>1</v>
      </c>
      <c r="J3">
        <v>0</v>
      </c>
      <c r="K3">
        <f t="shared" ref="K3:K13" si="0">H3/(H3+J3)</f>
        <v>1</v>
      </c>
      <c r="L3">
        <f>H3/(I3+H3)</f>
        <v>0.8</v>
      </c>
    </row>
    <row r="4" spans="1:12" x14ac:dyDescent="0.3">
      <c r="A4" s="5" t="s">
        <v>5</v>
      </c>
      <c r="B4" s="5" t="s">
        <v>76</v>
      </c>
      <c r="C4" s="5" t="s">
        <v>77</v>
      </c>
      <c r="D4" s="5">
        <v>157</v>
      </c>
      <c r="E4" s="5" t="s">
        <v>80</v>
      </c>
      <c r="G4" t="s">
        <v>11</v>
      </c>
      <c r="H4">
        <v>10</v>
      </c>
      <c r="I4">
        <v>0</v>
      </c>
      <c r="J4">
        <v>9</v>
      </c>
      <c r="K4">
        <f t="shared" si="0"/>
        <v>0.52631578947368418</v>
      </c>
      <c r="L4">
        <f t="shared" ref="L4:L13" si="1">H4/(I4+H4)</f>
        <v>1</v>
      </c>
    </row>
    <row r="5" spans="1:12" x14ac:dyDescent="0.3">
      <c r="A5" s="2" t="s">
        <v>5</v>
      </c>
      <c r="B5" s="2" t="s">
        <v>76</v>
      </c>
      <c r="C5" s="2" t="s">
        <v>77</v>
      </c>
      <c r="D5" s="2">
        <v>102</v>
      </c>
      <c r="E5" s="2" t="s">
        <v>81</v>
      </c>
      <c r="G5" t="s">
        <v>16</v>
      </c>
      <c r="H5">
        <v>1</v>
      </c>
      <c r="I5">
        <v>0</v>
      </c>
      <c r="J5">
        <v>0</v>
      </c>
      <c r="K5">
        <f t="shared" si="0"/>
        <v>1</v>
      </c>
      <c r="L5">
        <f t="shared" si="1"/>
        <v>1</v>
      </c>
    </row>
    <row r="6" spans="1:12" x14ac:dyDescent="0.3">
      <c r="A6" s="2" t="s">
        <v>5</v>
      </c>
      <c r="B6" s="2" t="s">
        <v>76</v>
      </c>
      <c r="C6" s="2" t="s">
        <v>77</v>
      </c>
      <c r="D6" s="2">
        <v>144</v>
      </c>
      <c r="E6" s="2" t="s">
        <v>82</v>
      </c>
      <c r="G6" t="s">
        <v>21</v>
      </c>
      <c r="H6">
        <v>0</v>
      </c>
      <c r="I6">
        <v>0</v>
      </c>
      <c r="J6">
        <v>4</v>
      </c>
      <c r="K6">
        <f t="shared" si="0"/>
        <v>0</v>
      </c>
      <c r="L6" t="e">
        <f t="shared" si="1"/>
        <v>#DIV/0!</v>
      </c>
    </row>
    <row r="7" spans="1:12" x14ac:dyDescent="0.3">
      <c r="A7" s="6"/>
      <c r="B7" s="6"/>
      <c r="C7" s="6"/>
      <c r="D7" s="6"/>
      <c r="E7" s="6"/>
      <c r="G7" t="s">
        <v>26</v>
      </c>
      <c r="H7">
        <v>2</v>
      </c>
      <c r="I7">
        <v>1</v>
      </c>
      <c r="J7">
        <v>2</v>
      </c>
      <c r="K7">
        <f t="shared" si="0"/>
        <v>0.5</v>
      </c>
      <c r="L7">
        <f t="shared" si="1"/>
        <v>0.66666666666666663</v>
      </c>
    </row>
    <row r="8" spans="1:12" x14ac:dyDescent="0.3">
      <c r="A8" s="2" t="s">
        <v>11</v>
      </c>
      <c r="B8" s="2" t="s">
        <v>76</v>
      </c>
      <c r="C8" s="2" t="s">
        <v>77</v>
      </c>
      <c r="D8" s="2">
        <v>163</v>
      </c>
      <c r="E8" s="2" t="s">
        <v>80</v>
      </c>
      <c r="G8" t="s">
        <v>31</v>
      </c>
      <c r="H8">
        <v>2</v>
      </c>
      <c r="I8">
        <v>0</v>
      </c>
      <c r="J8">
        <v>0</v>
      </c>
      <c r="K8">
        <f t="shared" si="0"/>
        <v>1</v>
      </c>
      <c r="L8">
        <f t="shared" si="1"/>
        <v>1</v>
      </c>
    </row>
    <row r="9" spans="1:12" x14ac:dyDescent="0.3">
      <c r="A9" s="2" t="s">
        <v>11</v>
      </c>
      <c r="B9" s="2" t="s">
        <v>76</v>
      </c>
      <c r="C9" s="2" t="s">
        <v>77</v>
      </c>
      <c r="D9" s="2">
        <v>165</v>
      </c>
      <c r="E9" s="2" t="s">
        <v>80</v>
      </c>
      <c r="G9" t="s">
        <v>32</v>
      </c>
      <c r="H9">
        <v>4</v>
      </c>
      <c r="I9">
        <v>27</v>
      </c>
      <c r="J9">
        <v>0</v>
      </c>
      <c r="K9">
        <f t="shared" si="0"/>
        <v>1</v>
      </c>
      <c r="L9">
        <f t="shared" si="1"/>
        <v>0.12903225806451613</v>
      </c>
    </row>
    <row r="10" spans="1:12" x14ac:dyDescent="0.3">
      <c r="A10" s="2" t="s">
        <v>11</v>
      </c>
      <c r="B10" s="2" t="s">
        <v>76</v>
      </c>
      <c r="C10" s="2" t="s">
        <v>77</v>
      </c>
      <c r="D10" s="2">
        <v>167</v>
      </c>
      <c r="E10" s="2" t="s">
        <v>80</v>
      </c>
      <c r="G10" t="s">
        <v>37</v>
      </c>
      <c r="H10">
        <v>0</v>
      </c>
      <c r="I10">
        <v>0</v>
      </c>
      <c r="J10">
        <v>64</v>
      </c>
      <c r="K10">
        <f t="shared" si="0"/>
        <v>0</v>
      </c>
      <c r="L10" t="e">
        <f t="shared" si="1"/>
        <v>#DIV/0!</v>
      </c>
    </row>
    <row r="11" spans="1:12" x14ac:dyDescent="0.3">
      <c r="A11" s="2" t="s">
        <v>11</v>
      </c>
      <c r="B11" s="2" t="s">
        <v>76</v>
      </c>
      <c r="C11" s="2" t="s">
        <v>77</v>
      </c>
      <c r="D11" s="2">
        <v>169</v>
      </c>
      <c r="E11" s="2" t="s">
        <v>80</v>
      </c>
      <c r="G11" t="s">
        <v>42</v>
      </c>
      <c r="H11">
        <v>4</v>
      </c>
      <c r="I11">
        <v>0</v>
      </c>
      <c r="J11">
        <v>0</v>
      </c>
      <c r="K11">
        <f t="shared" si="0"/>
        <v>1</v>
      </c>
      <c r="L11">
        <f t="shared" si="1"/>
        <v>1</v>
      </c>
    </row>
    <row r="12" spans="1:12" x14ac:dyDescent="0.3">
      <c r="A12" s="2" t="s">
        <v>11</v>
      </c>
      <c r="B12" s="2" t="s">
        <v>76</v>
      </c>
      <c r="C12" s="2" t="s">
        <v>77</v>
      </c>
      <c r="D12" s="2">
        <v>171</v>
      </c>
      <c r="E12" s="2" t="s">
        <v>80</v>
      </c>
      <c r="G12" t="s">
        <v>45</v>
      </c>
      <c r="H12">
        <v>10</v>
      </c>
      <c r="I12">
        <v>1</v>
      </c>
      <c r="J12">
        <v>0</v>
      </c>
      <c r="K12">
        <f t="shared" si="0"/>
        <v>1</v>
      </c>
      <c r="L12">
        <f t="shared" si="1"/>
        <v>0.90909090909090906</v>
      </c>
    </row>
    <row r="13" spans="1:12" x14ac:dyDescent="0.3">
      <c r="A13" s="2" t="s">
        <v>11</v>
      </c>
      <c r="B13" s="2" t="s">
        <v>76</v>
      </c>
      <c r="C13" s="2" t="s">
        <v>77</v>
      </c>
      <c r="D13" s="2">
        <v>173</v>
      </c>
      <c r="E13" s="2" t="s">
        <v>80</v>
      </c>
      <c r="G13" t="s">
        <v>50</v>
      </c>
      <c r="H13">
        <f>SUM(H3:H12)</f>
        <v>37</v>
      </c>
      <c r="I13">
        <f>SUM(I3:I12)</f>
        <v>30</v>
      </c>
      <c r="J13">
        <f>SUM(J3:J12)</f>
        <v>79</v>
      </c>
      <c r="K13">
        <f t="shared" si="0"/>
        <v>0.31896551724137934</v>
      </c>
      <c r="L13">
        <f t="shared" si="1"/>
        <v>0.55223880597014929</v>
      </c>
    </row>
    <row r="14" spans="1:12" x14ac:dyDescent="0.3">
      <c r="A14" s="2" t="s">
        <v>11</v>
      </c>
      <c r="B14" s="2" t="s">
        <v>76</v>
      </c>
      <c r="C14" s="2" t="s">
        <v>77</v>
      </c>
      <c r="D14" s="2">
        <v>175</v>
      </c>
      <c r="E14" s="2" t="s">
        <v>80</v>
      </c>
    </row>
    <row r="15" spans="1:12" x14ac:dyDescent="0.3">
      <c r="A15" s="2" t="s">
        <v>11</v>
      </c>
      <c r="B15" s="2" t="s">
        <v>76</v>
      </c>
      <c r="C15" s="2" t="s">
        <v>77</v>
      </c>
      <c r="D15" s="2">
        <v>177</v>
      </c>
      <c r="E15" s="2" t="s">
        <v>80</v>
      </c>
    </row>
    <row r="16" spans="1:12" x14ac:dyDescent="0.3">
      <c r="A16" s="2" t="s">
        <v>11</v>
      </c>
      <c r="B16" s="2" t="s">
        <v>76</v>
      </c>
      <c r="C16" s="2" t="s">
        <v>77</v>
      </c>
      <c r="D16" s="2">
        <v>179</v>
      </c>
      <c r="E16" s="2" t="s">
        <v>80</v>
      </c>
    </row>
    <row r="17" spans="1:10" x14ac:dyDescent="0.3">
      <c r="A17" s="2" t="s">
        <v>11</v>
      </c>
      <c r="B17" s="2" t="s">
        <v>76</v>
      </c>
      <c r="C17" s="2" t="s">
        <v>77</v>
      </c>
      <c r="D17" s="2">
        <v>181</v>
      </c>
      <c r="E17" s="2" t="s">
        <v>80</v>
      </c>
    </row>
    <row r="18" spans="1:10" x14ac:dyDescent="0.3">
      <c r="A18" s="6"/>
      <c r="B18" s="6"/>
      <c r="C18" s="6"/>
      <c r="D18" s="6"/>
      <c r="E18" s="6"/>
    </row>
    <row r="19" spans="1:10" x14ac:dyDescent="0.3">
      <c r="A19" s="2" t="s">
        <v>16</v>
      </c>
      <c r="B19" s="2" t="s">
        <v>76</v>
      </c>
      <c r="C19" s="2" t="s">
        <v>83</v>
      </c>
      <c r="D19" s="2">
        <v>133</v>
      </c>
      <c r="E19" s="2" t="s">
        <v>84</v>
      </c>
      <c r="F19" s="8" t="s">
        <v>94</v>
      </c>
      <c r="J19" s="8"/>
    </row>
    <row r="20" spans="1:10" x14ac:dyDescent="0.3">
      <c r="A20" s="2" t="s">
        <v>16</v>
      </c>
      <c r="B20" s="2" t="s">
        <v>76</v>
      </c>
      <c r="C20" s="2" t="s">
        <v>83</v>
      </c>
      <c r="D20" s="2">
        <v>133</v>
      </c>
      <c r="E20" s="2" t="s">
        <v>84</v>
      </c>
    </row>
    <row r="21" spans="1:10" x14ac:dyDescent="0.3">
      <c r="A21" s="6"/>
      <c r="B21" s="6"/>
      <c r="C21" s="6"/>
      <c r="D21" s="6"/>
      <c r="E21" s="6"/>
    </row>
    <row r="22" spans="1:10" x14ac:dyDescent="0.3">
      <c r="A22" s="5" t="s">
        <v>26</v>
      </c>
      <c r="B22" s="5" t="s">
        <v>76</v>
      </c>
      <c r="C22" s="5" t="s">
        <v>77</v>
      </c>
      <c r="D22" s="5">
        <v>96</v>
      </c>
      <c r="E22" s="5" t="s">
        <v>80</v>
      </c>
    </row>
    <row r="23" spans="1:10" x14ac:dyDescent="0.3">
      <c r="A23" s="2" t="s">
        <v>26</v>
      </c>
      <c r="B23" s="2" t="s">
        <v>76</v>
      </c>
      <c r="C23" s="2" t="s">
        <v>77</v>
      </c>
      <c r="D23" s="2">
        <v>99</v>
      </c>
      <c r="E23" s="2" t="s">
        <v>80</v>
      </c>
    </row>
    <row r="24" spans="1:10" x14ac:dyDescent="0.3">
      <c r="A24" s="2" t="s">
        <v>26</v>
      </c>
      <c r="B24" s="2" t="s">
        <v>76</v>
      </c>
      <c r="C24" s="2" t="s">
        <v>77</v>
      </c>
      <c r="D24" s="2">
        <v>101</v>
      </c>
      <c r="E24" s="2" t="s">
        <v>80</v>
      </c>
    </row>
    <row r="25" spans="1:10" x14ac:dyDescent="0.3">
      <c r="A25" s="6"/>
      <c r="B25" s="6"/>
      <c r="C25" s="6"/>
      <c r="D25" s="6"/>
      <c r="E25" s="6"/>
    </row>
    <row r="26" spans="1:10" x14ac:dyDescent="0.3">
      <c r="A26" s="2" t="s">
        <v>31</v>
      </c>
      <c r="B26" s="2" t="s">
        <v>76</v>
      </c>
      <c r="C26" s="2" t="s">
        <v>77</v>
      </c>
      <c r="D26" s="2">
        <v>108</v>
      </c>
      <c r="E26" s="2" t="s">
        <v>85</v>
      </c>
    </row>
    <row r="27" spans="1:10" x14ac:dyDescent="0.3">
      <c r="A27" s="2" t="s">
        <v>31</v>
      </c>
      <c r="B27" s="2" t="s">
        <v>76</v>
      </c>
      <c r="C27" s="2" t="s">
        <v>77</v>
      </c>
      <c r="D27" s="2">
        <v>139</v>
      </c>
      <c r="E27" s="2" t="s">
        <v>80</v>
      </c>
    </row>
    <row r="28" spans="1:10" x14ac:dyDescent="0.3">
      <c r="A28" s="6"/>
      <c r="B28" s="6"/>
      <c r="C28" s="6"/>
      <c r="D28" s="6"/>
      <c r="E28" s="6"/>
    </row>
    <row r="29" spans="1:10" x14ac:dyDescent="0.3">
      <c r="A29" s="7" t="s">
        <v>32</v>
      </c>
      <c r="B29" s="7" t="s">
        <v>76</v>
      </c>
      <c r="C29" s="7" t="s">
        <v>77</v>
      </c>
      <c r="D29" s="7">
        <v>127</v>
      </c>
      <c r="E29" s="7" t="s">
        <v>86</v>
      </c>
      <c r="F29" s="8" t="s">
        <v>95</v>
      </c>
    </row>
    <row r="30" spans="1:10" x14ac:dyDescent="0.3">
      <c r="A30" s="7" t="s">
        <v>32</v>
      </c>
      <c r="B30" s="7" t="s">
        <v>76</v>
      </c>
      <c r="C30" s="7" t="s">
        <v>77</v>
      </c>
      <c r="D30" s="7">
        <v>129</v>
      </c>
      <c r="E30" s="7" t="s">
        <v>86</v>
      </c>
    </row>
    <row r="31" spans="1:10" x14ac:dyDescent="0.3">
      <c r="A31" s="7" t="s">
        <v>32</v>
      </c>
      <c r="B31" s="7" t="s">
        <v>76</v>
      </c>
      <c r="C31" s="7" t="s">
        <v>77</v>
      </c>
      <c r="D31" s="7">
        <v>131</v>
      </c>
      <c r="E31" s="7" t="s">
        <v>86</v>
      </c>
    </row>
    <row r="32" spans="1:10" x14ac:dyDescent="0.3">
      <c r="A32" s="7" t="s">
        <v>32</v>
      </c>
      <c r="B32" s="7" t="s">
        <v>76</v>
      </c>
      <c r="C32" s="7" t="s">
        <v>77</v>
      </c>
      <c r="D32" s="7">
        <v>133</v>
      </c>
      <c r="E32" s="7" t="s">
        <v>86</v>
      </c>
    </row>
    <row r="33" spans="1:5" x14ac:dyDescent="0.3">
      <c r="A33" s="7" t="s">
        <v>32</v>
      </c>
      <c r="B33" s="7" t="s">
        <v>76</v>
      </c>
      <c r="C33" s="7" t="s">
        <v>77</v>
      </c>
      <c r="D33" s="7">
        <v>135</v>
      </c>
      <c r="E33" s="7" t="s">
        <v>87</v>
      </c>
    </row>
    <row r="34" spans="1:5" x14ac:dyDescent="0.3">
      <c r="A34" s="7" t="s">
        <v>32</v>
      </c>
      <c r="B34" s="7" t="s">
        <v>76</v>
      </c>
      <c r="C34" s="7" t="s">
        <v>77</v>
      </c>
      <c r="D34" s="7">
        <v>137</v>
      </c>
      <c r="E34" s="7" t="s">
        <v>87</v>
      </c>
    </row>
    <row r="35" spans="1:5" x14ac:dyDescent="0.3">
      <c r="A35" s="7" t="s">
        <v>32</v>
      </c>
      <c r="B35" s="7" t="s">
        <v>76</v>
      </c>
      <c r="C35" s="7" t="s">
        <v>77</v>
      </c>
      <c r="D35" s="7">
        <v>139</v>
      </c>
      <c r="E35" s="7" t="s">
        <v>88</v>
      </c>
    </row>
    <row r="36" spans="1:5" x14ac:dyDescent="0.3">
      <c r="A36" s="7" t="s">
        <v>32</v>
      </c>
      <c r="B36" s="7" t="s">
        <v>76</v>
      </c>
      <c r="C36" s="7" t="s">
        <v>77</v>
      </c>
      <c r="D36" s="7">
        <v>141</v>
      </c>
      <c r="E36" s="7" t="s">
        <v>89</v>
      </c>
    </row>
    <row r="37" spans="1:5" x14ac:dyDescent="0.3">
      <c r="A37" s="2" t="s">
        <v>32</v>
      </c>
      <c r="B37" s="2" t="s">
        <v>76</v>
      </c>
      <c r="C37" s="2" t="s">
        <v>77</v>
      </c>
      <c r="D37" s="2">
        <v>156</v>
      </c>
      <c r="E37" s="2" t="s">
        <v>80</v>
      </c>
    </row>
    <row r="38" spans="1:5" x14ac:dyDescent="0.3">
      <c r="A38" s="2" t="s">
        <v>32</v>
      </c>
      <c r="B38" s="2" t="s">
        <v>76</v>
      </c>
      <c r="C38" s="2" t="s">
        <v>77</v>
      </c>
      <c r="D38" s="2">
        <v>158</v>
      </c>
      <c r="E38" s="2" t="s">
        <v>80</v>
      </c>
    </row>
    <row r="39" spans="1:5" x14ac:dyDescent="0.3">
      <c r="A39" s="2" t="s">
        <v>32</v>
      </c>
      <c r="B39" s="2" t="s">
        <v>76</v>
      </c>
      <c r="C39" s="2" t="s">
        <v>77</v>
      </c>
      <c r="D39" s="2">
        <v>160</v>
      </c>
      <c r="E39" s="2" t="s">
        <v>80</v>
      </c>
    </row>
    <row r="40" spans="1:5" x14ac:dyDescent="0.3">
      <c r="A40" s="2" t="s">
        <v>32</v>
      </c>
      <c r="B40" s="2" t="s">
        <v>76</v>
      </c>
      <c r="C40" s="2" t="s">
        <v>77</v>
      </c>
      <c r="D40" s="2">
        <v>162</v>
      </c>
      <c r="E40" s="2" t="s">
        <v>80</v>
      </c>
    </row>
    <row r="41" spans="1:5" x14ac:dyDescent="0.3">
      <c r="A41" s="7" t="s">
        <v>32</v>
      </c>
      <c r="B41" s="7" t="s">
        <v>76</v>
      </c>
      <c r="C41" s="7" t="s">
        <v>77</v>
      </c>
      <c r="D41" s="7">
        <v>164</v>
      </c>
      <c r="E41" s="7" t="s">
        <v>80</v>
      </c>
    </row>
    <row r="42" spans="1:5" x14ac:dyDescent="0.3">
      <c r="A42" s="7" t="s">
        <v>32</v>
      </c>
      <c r="B42" s="7" t="s">
        <v>76</v>
      </c>
      <c r="C42" s="7" t="s">
        <v>77</v>
      </c>
      <c r="D42" s="7">
        <v>166</v>
      </c>
      <c r="E42" s="7" t="s">
        <v>80</v>
      </c>
    </row>
    <row r="43" spans="1:5" x14ac:dyDescent="0.3">
      <c r="A43" s="7" t="s">
        <v>32</v>
      </c>
      <c r="B43" s="7" t="s">
        <v>76</v>
      </c>
      <c r="C43" s="7" t="s">
        <v>77</v>
      </c>
      <c r="D43" s="7">
        <v>168</v>
      </c>
      <c r="E43" s="7" t="s">
        <v>80</v>
      </c>
    </row>
    <row r="44" spans="1:5" x14ac:dyDescent="0.3">
      <c r="A44" s="7" t="s">
        <v>32</v>
      </c>
      <c r="B44" s="7" t="s">
        <v>76</v>
      </c>
      <c r="C44" s="7" t="s">
        <v>77</v>
      </c>
      <c r="D44" s="7">
        <v>170</v>
      </c>
      <c r="E44" s="7" t="s">
        <v>80</v>
      </c>
    </row>
    <row r="45" spans="1:5" x14ac:dyDescent="0.3">
      <c r="A45" s="7" t="s">
        <v>32</v>
      </c>
      <c r="B45" s="7" t="s">
        <v>76</v>
      </c>
      <c r="C45" s="7" t="s">
        <v>77</v>
      </c>
      <c r="D45" s="7">
        <v>172</v>
      </c>
      <c r="E45" s="7" t="s">
        <v>80</v>
      </c>
    </row>
    <row r="46" spans="1:5" x14ac:dyDescent="0.3">
      <c r="A46" s="7" t="s">
        <v>32</v>
      </c>
      <c r="B46" s="7" t="s">
        <v>76</v>
      </c>
      <c r="C46" s="7" t="s">
        <v>77</v>
      </c>
      <c r="D46" s="7">
        <v>174</v>
      </c>
      <c r="E46" s="7" t="s">
        <v>80</v>
      </c>
    </row>
    <row r="47" spans="1:5" x14ac:dyDescent="0.3">
      <c r="A47" s="7" t="s">
        <v>32</v>
      </c>
      <c r="B47" s="7" t="s">
        <v>76</v>
      </c>
      <c r="C47" s="7" t="s">
        <v>77</v>
      </c>
      <c r="D47" s="7">
        <v>176</v>
      </c>
      <c r="E47" s="7" t="s">
        <v>80</v>
      </c>
    </row>
    <row r="48" spans="1:5" x14ac:dyDescent="0.3">
      <c r="A48" s="7" t="s">
        <v>32</v>
      </c>
      <c r="B48" s="7" t="s">
        <v>76</v>
      </c>
      <c r="C48" s="7" t="s">
        <v>77</v>
      </c>
      <c r="D48" s="7">
        <v>178</v>
      </c>
      <c r="E48" s="7" t="s">
        <v>80</v>
      </c>
    </row>
    <row r="49" spans="1:6" x14ac:dyDescent="0.3">
      <c r="A49" s="7" t="s">
        <v>32</v>
      </c>
      <c r="B49" s="7" t="s">
        <v>76</v>
      </c>
      <c r="C49" s="7" t="s">
        <v>77</v>
      </c>
      <c r="D49" s="7">
        <v>186</v>
      </c>
      <c r="E49" s="7" t="s">
        <v>80</v>
      </c>
    </row>
    <row r="50" spans="1:6" x14ac:dyDescent="0.3">
      <c r="A50" s="7" t="s">
        <v>32</v>
      </c>
      <c r="B50" s="7" t="s">
        <v>76</v>
      </c>
      <c r="C50" s="7" t="s">
        <v>77</v>
      </c>
      <c r="D50" s="7">
        <v>188</v>
      </c>
      <c r="E50" s="7" t="s">
        <v>80</v>
      </c>
    </row>
    <row r="51" spans="1:6" x14ac:dyDescent="0.3">
      <c r="A51" s="7" t="s">
        <v>32</v>
      </c>
      <c r="B51" s="7" t="s">
        <v>76</v>
      </c>
      <c r="C51" s="7" t="s">
        <v>77</v>
      </c>
      <c r="D51" s="7">
        <v>190</v>
      </c>
      <c r="E51" s="7" t="s">
        <v>80</v>
      </c>
    </row>
    <row r="52" spans="1:6" x14ac:dyDescent="0.3">
      <c r="A52" s="7" t="s">
        <v>32</v>
      </c>
      <c r="B52" s="7" t="s">
        <v>76</v>
      </c>
      <c r="C52" s="7" t="s">
        <v>77</v>
      </c>
      <c r="D52" s="7">
        <v>192</v>
      </c>
      <c r="E52" s="7" t="s">
        <v>80</v>
      </c>
    </row>
    <row r="53" spans="1:6" x14ac:dyDescent="0.3">
      <c r="A53" s="7" t="s">
        <v>32</v>
      </c>
      <c r="B53" s="7" t="s">
        <v>76</v>
      </c>
      <c r="C53" s="7" t="s">
        <v>77</v>
      </c>
      <c r="D53" s="7">
        <v>194</v>
      </c>
      <c r="E53" s="7" t="s">
        <v>80</v>
      </c>
    </row>
    <row r="54" spans="1:6" x14ac:dyDescent="0.3">
      <c r="A54" s="7" t="s">
        <v>32</v>
      </c>
      <c r="B54" s="7" t="s">
        <v>76</v>
      </c>
      <c r="C54" s="7" t="s">
        <v>77</v>
      </c>
      <c r="D54" s="7">
        <v>196</v>
      </c>
      <c r="E54" s="7" t="s">
        <v>80</v>
      </c>
    </row>
    <row r="55" spans="1:6" x14ac:dyDescent="0.3">
      <c r="A55" s="7" t="s">
        <v>32</v>
      </c>
      <c r="B55" s="7" t="s">
        <v>76</v>
      </c>
      <c r="C55" s="7" t="s">
        <v>77</v>
      </c>
      <c r="D55" s="7">
        <v>198</v>
      </c>
      <c r="E55" s="7" t="s">
        <v>80</v>
      </c>
    </row>
    <row r="56" spans="1:6" x14ac:dyDescent="0.3">
      <c r="A56" s="7" t="s">
        <v>32</v>
      </c>
      <c r="B56" s="7" t="s">
        <v>76</v>
      </c>
      <c r="C56" s="7" t="s">
        <v>77</v>
      </c>
      <c r="D56" s="7">
        <v>200</v>
      </c>
      <c r="E56" s="7" t="s">
        <v>80</v>
      </c>
    </row>
    <row r="57" spans="1:6" x14ac:dyDescent="0.3">
      <c r="A57" s="7" t="s">
        <v>32</v>
      </c>
      <c r="B57" s="7" t="s">
        <v>76</v>
      </c>
      <c r="C57" s="7" t="s">
        <v>77</v>
      </c>
      <c r="D57" s="7">
        <v>202</v>
      </c>
      <c r="E57" s="7" t="s">
        <v>80</v>
      </c>
    </row>
    <row r="58" spans="1:6" x14ac:dyDescent="0.3">
      <c r="A58" s="7" t="s">
        <v>32</v>
      </c>
      <c r="B58" s="7" t="s">
        <v>76</v>
      </c>
      <c r="C58" s="7" t="s">
        <v>77</v>
      </c>
      <c r="D58" s="7">
        <v>204</v>
      </c>
      <c r="E58" s="7" t="s">
        <v>80</v>
      </c>
    </row>
    <row r="59" spans="1:6" x14ac:dyDescent="0.3">
      <c r="A59" s="7" t="s">
        <v>32</v>
      </c>
      <c r="B59" s="7" t="s">
        <v>76</v>
      </c>
      <c r="C59" s="7" t="s">
        <v>77</v>
      </c>
      <c r="D59" s="7">
        <v>206</v>
      </c>
      <c r="E59" s="7" t="s">
        <v>80</v>
      </c>
    </row>
    <row r="60" spans="1:6" x14ac:dyDescent="0.3">
      <c r="A60" s="6"/>
      <c r="B60" s="6"/>
      <c r="C60" s="6"/>
      <c r="D60" s="6"/>
      <c r="E60" s="6"/>
    </row>
    <row r="61" spans="1:6" x14ac:dyDescent="0.3">
      <c r="A61" s="2" t="s">
        <v>42</v>
      </c>
      <c r="B61" s="2" t="s">
        <v>76</v>
      </c>
      <c r="C61" s="2" t="s">
        <v>77</v>
      </c>
      <c r="D61" s="2">
        <v>122</v>
      </c>
      <c r="E61" s="2" t="s">
        <v>90</v>
      </c>
    </row>
    <row r="62" spans="1:6" x14ac:dyDescent="0.3">
      <c r="A62" s="2" t="s">
        <v>42</v>
      </c>
      <c r="B62" s="2" t="s">
        <v>76</v>
      </c>
      <c r="C62" s="2" t="s">
        <v>77</v>
      </c>
      <c r="D62" s="2">
        <v>123</v>
      </c>
      <c r="E62" s="2" t="s">
        <v>91</v>
      </c>
    </row>
    <row r="63" spans="1:6" x14ac:dyDescent="0.3">
      <c r="A63" s="2" t="s">
        <v>42</v>
      </c>
      <c r="B63" s="2" t="s">
        <v>76</v>
      </c>
      <c r="C63" s="2" t="s">
        <v>83</v>
      </c>
      <c r="D63" s="2">
        <v>126</v>
      </c>
      <c r="E63" s="2" t="s">
        <v>84</v>
      </c>
      <c r="F63" s="8" t="s">
        <v>96</v>
      </c>
    </row>
    <row r="64" spans="1:6" x14ac:dyDescent="0.3">
      <c r="A64" s="2" t="s">
        <v>42</v>
      </c>
      <c r="B64" s="2" t="s">
        <v>76</v>
      </c>
      <c r="C64" s="2" t="s">
        <v>83</v>
      </c>
      <c r="D64" s="2">
        <v>126</v>
      </c>
      <c r="E64" s="2" t="s">
        <v>84</v>
      </c>
    </row>
    <row r="65" spans="1:5" x14ac:dyDescent="0.3">
      <c r="A65" s="2" t="s">
        <v>42</v>
      </c>
      <c r="B65" s="2" t="s">
        <v>76</v>
      </c>
      <c r="C65" s="2" t="s">
        <v>83</v>
      </c>
      <c r="D65" s="2">
        <v>138</v>
      </c>
      <c r="E65" s="2" t="s">
        <v>84</v>
      </c>
    </row>
    <row r="66" spans="1:5" x14ac:dyDescent="0.3">
      <c r="A66" s="2" t="s">
        <v>42</v>
      </c>
      <c r="B66" s="2" t="s">
        <v>76</v>
      </c>
      <c r="C66" s="2" t="s">
        <v>83</v>
      </c>
      <c r="D66" s="2">
        <v>138</v>
      </c>
      <c r="E66" s="2" t="s">
        <v>84</v>
      </c>
    </row>
    <row r="67" spans="1:5" x14ac:dyDescent="0.3">
      <c r="A67" s="6"/>
      <c r="B67" s="6"/>
      <c r="C67" s="6"/>
      <c r="D67" s="6"/>
      <c r="E67" s="6"/>
    </row>
    <row r="68" spans="1:5" x14ac:dyDescent="0.3">
      <c r="A68" s="5" t="s">
        <v>45</v>
      </c>
      <c r="B68" s="5" t="s">
        <v>76</v>
      </c>
      <c r="C68" s="5" t="s">
        <v>77</v>
      </c>
      <c r="D68" s="5">
        <v>167</v>
      </c>
      <c r="E68" s="5" t="s">
        <v>80</v>
      </c>
    </row>
    <row r="69" spans="1:5" x14ac:dyDescent="0.3">
      <c r="A69" s="2" t="s">
        <v>45</v>
      </c>
      <c r="B69" s="2" t="s">
        <v>76</v>
      </c>
      <c r="C69" s="2" t="s">
        <v>77</v>
      </c>
      <c r="D69" s="2">
        <v>170</v>
      </c>
      <c r="E69" s="2" t="s">
        <v>80</v>
      </c>
    </row>
    <row r="70" spans="1:5" x14ac:dyDescent="0.3">
      <c r="A70" s="2" t="s">
        <v>45</v>
      </c>
      <c r="B70" s="2" t="s">
        <v>76</v>
      </c>
      <c r="C70" s="2" t="s">
        <v>77</v>
      </c>
      <c r="D70" s="2">
        <v>172</v>
      </c>
      <c r="E70" s="2" t="s">
        <v>80</v>
      </c>
    </row>
    <row r="71" spans="1:5" x14ac:dyDescent="0.3">
      <c r="A71" s="2" t="s">
        <v>45</v>
      </c>
      <c r="B71" s="2" t="s">
        <v>76</v>
      </c>
      <c r="C71" s="2" t="s">
        <v>77</v>
      </c>
      <c r="D71" s="2">
        <v>174</v>
      </c>
      <c r="E71" s="2" t="s">
        <v>80</v>
      </c>
    </row>
    <row r="72" spans="1:5" x14ac:dyDescent="0.3">
      <c r="A72" s="2" t="s">
        <v>45</v>
      </c>
      <c r="B72" s="2" t="s">
        <v>76</v>
      </c>
      <c r="C72" s="2" t="s">
        <v>77</v>
      </c>
      <c r="D72" s="2">
        <v>176</v>
      </c>
      <c r="E72" s="2" t="s">
        <v>80</v>
      </c>
    </row>
    <row r="73" spans="1:5" x14ac:dyDescent="0.3">
      <c r="A73" s="2" t="s">
        <v>45</v>
      </c>
      <c r="B73" s="2" t="s">
        <v>76</v>
      </c>
      <c r="C73" s="2" t="s">
        <v>77</v>
      </c>
      <c r="D73" s="2">
        <v>178</v>
      </c>
      <c r="E73" s="2" t="s">
        <v>80</v>
      </c>
    </row>
    <row r="74" spans="1:5" x14ac:dyDescent="0.3">
      <c r="A74" s="2" t="s">
        <v>45</v>
      </c>
      <c r="B74" s="2" t="s">
        <v>76</v>
      </c>
      <c r="C74" s="2" t="s">
        <v>77</v>
      </c>
      <c r="D74" s="2">
        <v>180</v>
      </c>
      <c r="E74" s="2" t="s">
        <v>80</v>
      </c>
    </row>
    <row r="75" spans="1:5" x14ac:dyDescent="0.3">
      <c r="A75" s="2" t="s">
        <v>45</v>
      </c>
      <c r="B75" s="2" t="s">
        <v>76</v>
      </c>
      <c r="C75" s="2" t="s">
        <v>77</v>
      </c>
      <c r="D75" s="2">
        <v>182</v>
      </c>
      <c r="E75" s="2" t="s">
        <v>80</v>
      </c>
    </row>
    <row r="76" spans="1:5" x14ac:dyDescent="0.3">
      <c r="A76" s="2" t="s">
        <v>45</v>
      </c>
      <c r="B76" s="2" t="s">
        <v>76</v>
      </c>
      <c r="C76" s="2" t="s">
        <v>77</v>
      </c>
      <c r="D76" s="2">
        <v>184</v>
      </c>
      <c r="E76" s="2" t="s">
        <v>80</v>
      </c>
    </row>
    <row r="77" spans="1:5" x14ac:dyDescent="0.3">
      <c r="A77" s="2" t="s">
        <v>45</v>
      </c>
      <c r="B77" s="2" t="s">
        <v>76</v>
      </c>
      <c r="C77" s="2" t="s">
        <v>77</v>
      </c>
      <c r="D77" s="2">
        <v>186</v>
      </c>
      <c r="E77" s="2" t="s">
        <v>80</v>
      </c>
    </row>
    <row r="78" spans="1:5" x14ac:dyDescent="0.3">
      <c r="A78" s="2" t="s">
        <v>45</v>
      </c>
      <c r="B78" s="2" t="s">
        <v>76</v>
      </c>
      <c r="C78" s="2" t="s">
        <v>77</v>
      </c>
      <c r="D78" s="2">
        <v>188</v>
      </c>
      <c r="E78" s="2" t="s">
        <v>80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92</v>
      </c>
      <c r="C1" s="1" t="s">
        <v>93</v>
      </c>
    </row>
    <row r="2" spans="1:3" x14ac:dyDescent="0.3">
      <c r="A2" t="s">
        <v>5</v>
      </c>
      <c r="B2">
        <v>201</v>
      </c>
      <c r="C2">
        <v>2.6245399843901399E-2</v>
      </c>
    </row>
    <row r="3" spans="1:3" x14ac:dyDescent="0.3">
      <c r="A3" t="s">
        <v>11</v>
      </c>
      <c r="B3">
        <v>199</v>
      </c>
      <c r="C3">
        <v>3.8438599789515138E-2</v>
      </c>
    </row>
    <row r="4" spans="1:3" x14ac:dyDescent="0.3">
      <c r="A4" t="s">
        <v>16</v>
      </c>
      <c r="B4">
        <v>329</v>
      </c>
      <c r="C4">
        <v>5.7698099873960018E-2</v>
      </c>
    </row>
    <row r="5" spans="1:3" x14ac:dyDescent="0.3">
      <c r="A5" t="s">
        <v>21</v>
      </c>
      <c r="B5">
        <v>283</v>
      </c>
      <c r="C5">
        <v>7.460619998164475E-2</v>
      </c>
    </row>
    <row r="6" spans="1:3" x14ac:dyDescent="0.3">
      <c r="A6" t="s">
        <v>26</v>
      </c>
      <c r="B6">
        <v>121</v>
      </c>
      <c r="C6">
        <v>8.8597099995240569E-2</v>
      </c>
    </row>
    <row r="7" spans="1:3" x14ac:dyDescent="0.3">
      <c r="A7" t="s">
        <v>31</v>
      </c>
      <c r="B7">
        <v>144</v>
      </c>
      <c r="C7">
        <v>9.5846499782055616E-2</v>
      </c>
    </row>
    <row r="8" spans="1:3" x14ac:dyDescent="0.3">
      <c r="A8" t="s">
        <v>32</v>
      </c>
      <c r="B8">
        <v>245</v>
      </c>
      <c r="C8">
        <v>0.128687399905175</v>
      </c>
    </row>
    <row r="9" spans="1:3" x14ac:dyDescent="0.3">
      <c r="A9" t="s">
        <v>37</v>
      </c>
      <c r="B9">
        <v>509</v>
      </c>
      <c r="C9">
        <v>0.16008940013125539</v>
      </c>
    </row>
    <row r="10" spans="1:3" x14ac:dyDescent="0.3">
      <c r="A10" t="s">
        <v>42</v>
      </c>
      <c r="B10">
        <v>240</v>
      </c>
      <c r="C10">
        <v>0.18111439980566499</v>
      </c>
    </row>
    <row r="11" spans="1:3" x14ac:dyDescent="0.3">
      <c r="A11" t="s">
        <v>45</v>
      </c>
      <c r="B11">
        <v>210</v>
      </c>
      <c r="C11">
        <v>0.201046799775213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CWE 1245 Results</vt:lpstr>
      <vt:lpstr>CWE 1233 Results</vt:lpstr>
      <vt:lpstr>Detailed Results</vt:lpstr>
      <vt:lpstr>Detection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parks</cp:lastModifiedBy>
  <dcterms:created xsi:type="dcterms:W3CDTF">2025-09-24T18:24:37Z</dcterms:created>
  <dcterms:modified xsi:type="dcterms:W3CDTF">2025-09-25T20:40:48Z</dcterms:modified>
</cp:coreProperties>
</file>