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24-test-runs\"/>
    </mc:Choice>
  </mc:AlternateContent>
  <xr:revisionPtr revIDLastSave="0" documentId="13_ncr:1_{3082178D-97E1-44FB-8E9D-66010A85C359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WE 1245 Results" sheetId="1" r:id="rId1"/>
    <sheet name="CWE 1233 Results" sheetId="2" r:id="rId2"/>
    <sheet name="Detailed Results" sheetId="3" r:id="rId3"/>
    <sheet name="Detection Statisti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" l="1"/>
  <c r="L5" i="3"/>
  <c r="L6" i="3"/>
  <c r="L7" i="3"/>
  <c r="L8" i="3"/>
  <c r="L9" i="3"/>
  <c r="L10" i="3"/>
  <c r="L11" i="3"/>
  <c r="L12" i="3"/>
  <c r="L13" i="3"/>
  <c r="L3" i="3"/>
  <c r="K11" i="3"/>
  <c r="K10" i="3"/>
  <c r="K5" i="3"/>
  <c r="K6" i="3"/>
  <c r="K7" i="3"/>
  <c r="K8" i="3"/>
  <c r="K9" i="3"/>
  <c r="K12" i="3"/>
  <c r="J13" i="3"/>
  <c r="K13" i="3" s="1"/>
  <c r="I13" i="3"/>
  <c r="H13" i="3"/>
  <c r="K4" i="3"/>
  <c r="K3" i="3"/>
  <c r="H84" i="3"/>
</calcChain>
</file>

<file path=xl/sharedStrings.xml><?xml version="1.0" encoding="utf-8"?>
<sst xmlns="http://schemas.openxmlformats.org/spreadsheetml/2006/main" count="524" uniqueCount="120">
  <si>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</si>
  <si>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</si>
  <si>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</si>
  <si>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</si>
  <si>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</si>
  <si>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</si>
  <si>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</si>
  <si>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</si>
  <si>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</si>
  <si>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</si>
  <si>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</si>
  <si>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</si>
  <si>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</si>
  <si>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</si>
  <si>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</si>
  <si>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</si>
  <si>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</si>
  <si>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</si>
  <si>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</si>
  <si>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</si>
  <si>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</si>
  <si>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</si>
  <si>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</si>
  <si>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</si>
  <si>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</si>
  <si>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</si>
  <si>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</si>
  <si>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</si>
  <si>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</si>
  <si>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</si>
  <si>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</si>
  <si>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</si>
  <si>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</si>
  <si>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</si>
  <si>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</si>
  <si>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</si>
  <si>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</si>
  <si>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</si>
  <si>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</si>
  <si>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</si>
  <si>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</si>
  <si>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</si>
  <si>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</si>
  <si>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</si>
  <si>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</si>
  <si>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</si>
  <si>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</si>
  <si>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</si>
  <si>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</si>
  <si>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</si>
  <si>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</si>
  <si>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</si>
  <si>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</si>
  <si>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</si>
  <si>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</si>
  <si>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</si>
  <si>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'rdata', 'start', 'key_sel']</t>
  </si>
  <si>
    <t>Secure: All security sensitive register assignments are protected</t>
  </si>
  <si>
    <t>Vulnerable: ['p_c', 'state', 'rdata', 'start', 'key_sel'] assignment(s) not protected</t>
  </si>
  <si>
    <t>['start_reg', 'done_reg', 'end_reg', 'rdata']</t>
  </si>
  <si>
    <t>Vulnerable: ['start_reg', 'done_reg', 'end_reg', 'rdata'] assignment(s) not protected</t>
  </si>
  <si>
    <t>['startHash', 'newMessage', 'key_hash_bypass', 'data', 'key0', 'ikey_hash_bytes', 'okey_hash_bytes', 'rdata', 'newMessage_r', 'startHash_r', 'key', 'okey_hash']</t>
  </si>
  <si>
    <t>Vulnerable: ['data'] assignment(s) are not correctly enforced and allow unauthorized writes</t>
  </si>
  <si>
    <t>Vulnerable: ['newMessage_r', 'startHash_r', 'key', 'okey_hash'] assignment(s) not protected</t>
  </si>
  <si>
    <t>['encdec_reg', 'keylen_reg0', 'keylen_reg1', 'keylen_reg2', 'init_reg', 'next_reg', 'key_sel', 'rdata', 'init_reg_d', 'next_reg_d', 'key_reg0', 'key_reg1', 'key_reg2']</t>
  </si>
  <si>
    <t>Vulnerable: ['init_reg_d', 'next_reg_d', 'key_reg0', 'key_reg1', 'key_reg2'] assignment(s) not protected</t>
  </si>
  <si>
    <t>['rdata']</t>
  </si>
  <si>
    <t>Vulnerable: ['rdata'] assignment(s) not protected</t>
  </si>
  <si>
    <t>['acct_mem', 'rdata']</t>
  </si>
  <si>
    <t>Vulnerable: ['acct_mem', 'rdata'] assignment(s) not protected</t>
  </si>
  <si>
    <t>['poly128', 'poly64', 'poly32_big', 'poly16_big', 'rdata']</t>
  </si>
  <si>
    <t>Vulnerable: ['poly128', 'poly64', 'poly32_big', 'poly16_big', 'rdata'] assignment(s) not protected</t>
  </si>
  <si>
    <t>['inter_rst_ni', 'inter_rst1_ni', 'encry_decry_i', 'prime_i', 'prime1_i', 'rdata']</t>
  </si>
  <si>
    <t>['data', 'rdata', 'newMessage_r', 'startHash_r', 'startHash', 'newMessage']</t>
  </si>
  <si>
    <t>Vulnerable: ['newMessage_r', 'startHash_r', 'startHash', 'newMessage'] assignment(s) not protected</t>
  </si>
  <si>
    <t>['start', 'p_c', 'key0', 'state', 'key1', 'key2', 'key_sel', 'key_big', 'key_big0', 'key_big1', 'rdata']</t>
  </si>
  <si>
    <t>Vulnerable: ['key_big', 'key_big0', 'key_big1', 'rdata'] assignment(s) not protected</t>
  </si>
  <si>
    <t>Related CWE</t>
  </si>
  <si>
    <t>Vulnerability Type</t>
  </si>
  <si>
    <t>Line Number</t>
  </si>
  <si>
    <t>Description</t>
  </si>
  <si>
    <t>CWE-1233</t>
  </si>
  <si>
    <t>Assignment Missing Lock Bit Protection</t>
  </si>
  <si>
    <t>p_c is assigned without lock bit protection</t>
  </si>
  <si>
    <t>state is assigned without lock bit protection</t>
  </si>
  <si>
    <t>rdata is assigned without lock bit protection</t>
  </si>
  <si>
    <t>start is assigned without lock bit protection</t>
  </si>
  <si>
    <t>key_sel is assigned without lock bit protection</t>
  </si>
  <si>
    <t>start_reg is assigned without lock bit protection</t>
  </si>
  <si>
    <t>done_reg is assigned without lock bit protection</t>
  </si>
  <si>
    <t>end_reg is assigned without lock bit protection</t>
  </si>
  <si>
    <t>newMessage_r is assigned without lock bit protection</t>
  </si>
  <si>
    <t>startHash_r is assigned without lock bit protection</t>
  </si>
  <si>
    <t>key is assigned without lock bit protection</t>
  </si>
  <si>
    <t>okey_hash is assigned without lock bit protection</t>
  </si>
  <si>
    <t>Incorrect Lock Enforcement</t>
  </si>
  <si>
    <t>data is assigned without correct lock bit enforcement</t>
  </si>
  <si>
    <t>init_reg_d is assigned without lock bit protection</t>
  </si>
  <si>
    <t>next_reg_d is assigned without lock bit protection</t>
  </si>
  <si>
    <t>key_reg0 is assigned without lock bit protection</t>
  </si>
  <si>
    <t>key_reg1 is assigned without lock bit protection</t>
  </si>
  <si>
    <t>key_reg2 is assigned without lock bit protection</t>
  </si>
  <si>
    <t>acct_mem is assigned without lock bit protection</t>
  </si>
  <si>
    <t>poly128 is assigned without lock bit protection</t>
  </si>
  <si>
    <t>poly64 is assigned without lock bit protection</t>
  </si>
  <si>
    <t>poly32_big is assigned without lock bit protection</t>
  </si>
  <si>
    <t>poly16_big is assigned without lock bit protection</t>
  </si>
  <si>
    <t>startHash is assigned without lock bit protection</t>
  </si>
  <si>
    <t>newMessage is assigned without lock bit protection</t>
  </si>
  <si>
    <t>key_big is assigned without lock bit protection</t>
  </si>
  <si>
    <t>key_big0 is assigned without lock bit protection</t>
  </si>
  <si>
    <t>key_big1 is assigned without lock bit protection</t>
  </si>
  <si>
    <t>LoC</t>
  </si>
  <si>
    <t>Detection Time</t>
  </si>
  <si>
    <t>File</t>
  </si>
  <si>
    <t>TP</t>
  </si>
  <si>
    <t>FP</t>
  </si>
  <si>
    <t>FN</t>
  </si>
  <si>
    <t>Recall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</si>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</sst>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2" borderId="0" xfId="0" applyFont="1" applyFill="1"/>
    <xf numFmtId="0" fontId="0" fillId="5" borderId="0" xfId="0" applyFill="1"/>
    <xf numFmtId="0" fontId="2" fillId="0" borderId="0" xfId="0" applyFont="1"/>
  </cellXfs>
  <cellStyles count="1">
    <cellStyle name="Normal" xfId="0" builtinId="0"/>
  </cellStyles>
  <dxfs count="8"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074350-B1F3-4A0A-A9A3-9F0A5EC47E52}" name="Table1" displayName="Table1" ref="G2:L13" totalsRowShown="0" headerRowDxfId="7" dataDxfId="6">
  <autoFilter ref="G2:L13" xr:uid="{CB074350-B1F3-4A0A-A9A3-9F0A5EC47E52}"/>
  <tableColumns count="6">
    <tableColumn id="1" xr3:uid="{C181727C-464B-44F0-8D6D-18DBCE2034C4}" name="File" dataDxfId="5"/>
    <tableColumn id="2" xr3:uid="{E346BD4F-FC6D-4A29-B30C-4B1EA3DD2F2C}" name="TP" dataDxfId="4"/>
    <tableColumn id="3" xr3:uid="{6814C4B0-23CA-4509-9BE8-2BD3F175C1CE}" name="FP" dataDxfId="3"/>
    <tableColumn id="4" xr3:uid="{66FD2DB5-E00A-40FB-BD75-2F79DF8CDB85}" name="FN" dataDxfId="2"/>
    <tableColumn id="6" xr3:uid="{F2EF23A9-1CB3-4DB4-9BF5-99756538EEE9}" name="Recall" dataDxfId="1">
      <calculatedColumnFormula>H3/(H3+J3)</calculatedColumnFormula>
    </tableColumn>
    <tableColumn id="7" xr3:uid="{16645CAA-983D-47DD-B395-BBE32E135B34}" name="Precision" dataDxfId="0">
      <calculatedColumnFormula>H3/(I3+H3)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B9" sqref="B9"/>
    </sheetView>
  </sheetViews>
  <sheetFormatPr defaultRowHeight="14.4" x14ac:dyDescent="0.3"/>
  <sheetData>
    <row r="1" spans="1:4" x14ac:dyDescent="0.3">
      <c r="A1" s="1" t="s">
        <v>0</v>
      </c>
      <c r="B1" s="1" t="s">
        <v>53</v>
      </c>
      <c r="C1" s="1" t="s">
        <v>54</v>
      </c>
      <c r="D1" s="1" t="s">
        <v>55</v>
      </c>
    </row>
    <row r="2" spans="1:4" x14ac:dyDescent="0.3">
      <c r="A2" t="s">
        <v>5</v>
      </c>
      <c r="B2" t="s">
        <v>56</v>
      </c>
      <c r="C2" t="s">
        <v>57</v>
      </c>
      <c r="D2" t="s">
        <v>58</v>
      </c>
    </row>
    <row r="3" spans="1:4" x14ac:dyDescent="0.3">
      <c r="A3" t="s">
        <v>11</v>
      </c>
      <c r="B3" t="s">
        <v>59</v>
      </c>
      <c r="C3" t="s">
        <v>57</v>
      </c>
      <c r="D3" t="s">
        <v>60</v>
      </c>
    </row>
    <row r="4" spans="1:4" x14ac:dyDescent="0.3">
      <c r="A4" t="s">
        <v>16</v>
      </c>
      <c r="B4" t="s">
        <v>61</v>
      </c>
      <c r="C4" t="s">
        <v>62</v>
      </c>
      <c r="D4" t="s">
        <v>63</v>
      </c>
    </row>
    <row r="5" spans="1:4" x14ac:dyDescent="0.3">
      <c r="A5" t="s">
        <v>21</v>
      </c>
      <c r="B5" t="s">
        <v>64</v>
      </c>
      <c r="C5" t="s">
        <v>57</v>
      </c>
      <c r="D5" t="s">
        <v>65</v>
      </c>
    </row>
    <row r="6" spans="1:4" x14ac:dyDescent="0.3">
      <c r="A6" t="s">
        <v>26</v>
      </c>
      <c r="B6" t="s">
        <v>66</v>
      </c>
      <c r="C6" t="s">
        <v>57</v>
      </c>
      <c r="D6" t="s">
        <v>67</v>
      </c>
    </row>
    <row r="7" spans="1:4" x14ac:dyDescent="0.3">
      <c r="A7" t="s">
        <v>31</v>
      </c>
      <c r="B7" t="s">
        <v>68</v>
      </c>
      <c r="C7" t="s">
        <v>57</v>
      </c>
      <c r="D7" t="s">
        <v>69</v>
      </c>
    </row>
    <row r="8" spans="1:4" x14ac:dyDescent="0.3">
      <c r="A8" t="s">
        <v>32</v>
      </c>
      <c r="B8" t="s">
        <v>70</v>
      </c>
      <c r="C8" t="s">
        <v>57</v>
      </c>
      <c r="D8" t="s">
        <v>71</v>
      </c>
    </row>
    <row r="9" spans="1:4" x14ac:dyDescent="0.3">
      <c r="A9" t="s">
        <v>37</v>
      </c>
      <c r="B9" t="s">
        <v>72</v>
      </c>
      <c r="C9" t="s">
        <v>57</v>
      </c>
      <c r="D9" t="s">
        <v>57</v>
      </c>
    </row>
    <row r="10" spans="1:4" x14ac:dyDescent="0.3">
      <c r="A10" t="s">
        <v>42</v>
      </c>
      <c r="B10" t="s">
        <v>73</v>
      </c>
      <c r="C10" t="s">
        <v>62</v>
      </c>
      <c r="D10" t="s">
        <v>74</v>
      </c>
    </row>
    <row r="11" spans="1:4" x14ac:dyDescent="0.3">
      <c r="A11" t="s">
        <v>45</v>
      </c>
      <c r="B11" t="s">
        <v>75</v>
      </c>
      <c r="C11" t="s">
        <v>57</v>
      </c>
      <c r="D11" t="s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8"/>
  <sheetViews>
    <sheetView tabSelected="1" workbookViewId="0">
      <pane xSplit="1" topLeftCell="C1" activePane="topRight" state="frozen"/>
      <selection pane="topRight" activeCell="H18" sqref="H18"/>
    </sheetView>
  </sheetViews>
  <sheetFormatPr defaultRowHeight="14.4" x14ac:dyDescent="0.3"/>
  <cols>
    <col min="1" max="1" width="22.88671875" customWidth="1"/>
    <col min="2" max="2" width="11.6640625" bestFit="1" customWidth="1"/>
    <col min="3" max="3" width="33.109375" bestFit="1" customWidth="1"/>
    <col min="4" max="4" width="11.77734375" bestFit="1" customWidth="1"/>
    <col min="5" max="5" width="45.21875" bestFit="1" customWidth="1"/>
    <col min="7" max="7" width="41.33203125" bestFit="1" customWidth="1"/>
  </cols>
  <sheetData>
    <row r="1" spans="1:12" x14ac:dyDescent="0.3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</row>
    <row r="2" spans="1:12" x14ac:dyDescent="0.3">
      <c r="A2" s="2" t="s">
        <v>5</v>
      </c>
      <c r="B2" s="2" t="s">
        <v>81</v>
      </c>
      <c r="C2" s="2" t="s">
        <v>82</v>
      </c>
      <c r="D2" s="2">
        <v>108</v>
      </c>
      <c r="E2" s="2" t="s">
        <v>83</v>
      </c>
      <c r="G2" t="s">
        <v>114</v>
      </c>
      <c r="H2" t="s">
        <v>115</v>
      </c>
      <c r="I2" t="s">
        <v>116</v>
      </c>
      <c r="J2" t="s">
        <v>117</v>
      </c>
      <c r="K2" t="s">
        <v>118</v>
      </c>
      <c r="L2" t="s">
        <v>119</v>
      </c>
    </row>
    <row r="3" spans="1:12" x14ac:dyDescent="0.3">
      <c r="A3" s="2" t="s">
        <v>5</v>
      </c>
      <c r="B3" s="2" t="s">
        <v>81</v>
      </c>
      <c r="C3" s="2" t="s">
        <v>82</v>
      </c>
      <c r="D3" s="2">
        <v>120</v>
      </c>
      <c r="E3" s="2" t="s">
        <v>84</v>
      </c>
      <c r="G3" t="s">
        <v>5</v>
      </c>
      <c r="H3">
        <v>4</v>
      </c>
      <c r="I3">
        <v>1</v>
      </c>
      <c r="J3">
        <v>0</v>
      </c>
      <c r="K3">
        <f>H3/(H3+J3)</f>
        <v>1</v>
      </c>
      <c r="L3">
        <f>H3/(I3+H3)</f>
        <v>0.8</v>
      </c>
    </row>
    <row r="4" spans="1:12" x14ac:dyDescent="0.3">
      <c r="A4" s="3" t="s">
        <v>5</v>
      </c>
      <c r="B4" s="3" t="s">
        <v>81</v>
      </c>
      <c r="C4" s="3" t="s">
        <v>82</v>
      </c>
      <c r="D4" s="3">
        <v>157</v>
      </c>
      <c r="E4" s="3" t="s">
        <v>85</v>
      </c>
      <c r="G4" t="s">
        <v>11</v>
      </c>
      <c r="H4">
        <v>13</v>
      </c>
      <c r="I4">
        <v>0</v>
      </c>
      <c r="J4">
        <v>6</v>
      </c>
      <c r="K4">
        <f>H4/(H4+J4)</f>
        <v>0.68421052631578949</v>
      </c>
      <c r="L4">
        <f t="shared" ref="L4:L13" si="0">H4/(I4+H4)</f>
        <v>1</v>
      </c>
    </row>
    <row r="5" spans="1:12" x14ac:dyDescent="0.3">
      <c r="A5" s="2" t="s">
        <v>5</v>
      </c>
      <c r="B5" s="2" t="s">
        <v>81</v>
      </c>
      <c r="C5" s="2" t="s">
        <v>82</v>
      </c>
      <c r="D5" s="2">
        <v>102</v>
      </c>
      <c r="E5" s="2" t="s">
        <v>86</v>
      </c>
      <c r="G5" t="s">
        <v>16</v>
      </c>
      <c r="H5">
        <v>1</v>
      </c>
      <c r="I5">
        <v>4</v>
      </c>
      <c r="J5">
        <v>0</v>
      </c>
      <c r="K5">
        <f>H5/(H5+J5)</f>
        <v>1</v>
      </c>
      <c r="L5">
        <f t="shared" si="0"/>
        <v>0.2</v>
      </c>
    </row>
    <row r="6" spans="1:12" x14ac:dyDescent="0.3">
      <c r="A6" s="2" t="s">
        <v>5</v>
      </c>
      <c r="B6" s="2" t="s">
        <v>81</v>
      </c>
      <c r="C6" s="2" t="s">
        <v>82</v>
      </c>
      <c r="D6" s="2">
        <v>144</v>
      </c>
      <c r="E6" s="2" t="s">
        <v>87</v>
      </c>
      <c r="G6" t="s">
        <v>21</v>
      </c>
      <c r="H6">
        <v>3</v>
      </c>
      <c r="I6">
        <v>2</v>
      </c>
      <c r="J6">
        <v>1</v>
      </c>
      <c r="K6">
        <f>H6/(H6+J6)</f>
        <v>0.75</v>
      </c>
      <c r="L6">
        <f t="shared" si="0"/>
        <v>0.6</v>
      </c>
    </row>
    <row r="7" spans="1:12" x14ac:dyDescent="0.3">
      <c r="A7" s="4"/>
      <c r="B7" s="4"/>
      <c r="C7" s="4"/>
      <c r="D7" s="4"/>
      <c r="E7" s="4"/>
      <c r="G7" t="s">
        <v>26</v>
      </c>
      <c r="H7">
        <v>2</v>
      </c>
      <c r="I7">
        <v>0</v>
      </c>
      <c r="J7">
        <v>2</v>
      </c>
      <c r="K7">
        <f>H7/(H7+J7)</f>
        <v>0.5</v>
      </c>
      <c r="L7">
        <f t="shared" si="0"/>
        <v>1</v>
      </c>
    </row>
    <row r="8" spans="1:12" x14ac:dyDescent="0.3">
      <c r="A8" s="2" t="s">
        <v>11</v>
      </c>
      <c r="B8" s="2" t="s">
        <v>81</v>
      </c>
      <c r="C8" s="2" t="s">
        <v>82</v>
      </c>
      <c r="D8" s="2">
        <v>132</v>
      </c>
      <c r="E8" s="2" t="s">
        <v>88</v>
      </c>
      <c r="G8" t="s">
        <v>31</v>
      </c>
      <c r="H8">
        <v>2</v>
      </c>
      <c r="I8">
        <v>1</v>
      </c>
      <c r="J8">
        <v>0</v>
      </c>
      <c r="K8">
        <f>H8/(H8+J8)</f>
        <v>1</v>
      </c>
      <c r="L8">
        <f t="shared" si="0"/>
        <v>0.66666666666666663</v>
      </c>
    </row>
    <row r="9" spans="1:12" x14ac:dyDescent="0.3">
      <c r="A9" s="2" t="s">
        <v>11</v>
      </c>
      <c r="B9" s="2" t="s">
        <v>81</v>
      </c>
      <c r="C9" s="2" t="s">
        <v>82</v>
      </c>
      <c r="D9" s="2">
        <v>144</v>
      </c>
      <c r="E9" s="2" t="s">
        <v>89</v>
      </c>
      <c r="G9" t="s">
        <v>32</v>
      </c>
      <c r="H9">
        <v>4</v>
      </c>
      <c r="I9">
        <v>27</v>
      </c>
      <c r="J9">
        <v>4</v>
      </c>
      <c r="K9">
        <f>H9/(H9+J9)</f>
        <v>0.5</v>
      </c>
      <c r="L9">
        <f t="shared" si="0"/>
        <v>0.12903225806451613</v>
      </c>
    </row>
    <row r="10" spans="1:12" x14ac:dyDescent="0.3">
      <c r="A10" s="2" t="s">
        <v>11</v>
      </c>
      <c r="B10" s="2" t="s">
        <v>81</v>
      </c>
      <c r="C10" s="2" t="s">
        <v>82</v>
      </c>
      <c r="D10" s="2">
        <v>148</v>
      </c>
      <c r="E10" s="2" t="s">
        <v>90</v>
      </c>
      <c r="G10" t="s">
        <v>37</v>
      </c>
      <c r="H10">
        <v>0</v>
      </c>
      <c r="I10">
        <v>0</v>
      </c>
      <c r="J10">
        <v>64</v>
      </c>
      <c r="K10">
        <f>H10/(H10+J10)</f>
        <v>0</v>
      </c>
      <c r="L10" t="e">
        <f t="shared" si="0"/>
        <v>#DIV/0!</v>
      </c>
    </row>
    <row r="11" spans="1:12" s="7" customFormat="1" x14ac:dyDescent="0.3">
      <c r="A11" s="5" t="s">
        <v>11</v>
      </c>
      <c r="B11" s="5" t="s">
        <v>81</v>
      </c>
      <c r="C11" s="5" t="s">
        <v>82</v>
      </c>
      <c r="D11" s="5">
        <v>163</v>
      </c>
      <c r="E11" s="5" t="s">
        <v>85</v>
      </c>
      <c r="G11" t="s">
        <v>42</v>
      </c>
      <c r="H11">
        <v>4</v>
      </c>
      <c r="I11">
        <v>2</v>
      </c>
      <c r="J11" s="7">
        <v>0</v>
      </c>
      <c r="K11">
        <f>H11/(H11+J11)</f>
        <v>1</v>
      </c>
      <c r="L11">
        <f t="shared" si="0"/>
        <v>0.66666666666666663</v>
      </c>
    </row>
    <row r="12" spans="1:12" s="7" customFormat="1" x14ac:dyDescent="0.3">
      <c r="A12" s="5" t="s">
        <v>11</v>
      </c>
      <c r="B12" s="5" t="s">
        <v>81</v>
      </c>
      <c r="C12" s="5" t="s">
        <v>82</v>
      </c>
      <c r="D12" s="5">
        <v>165</v>
      </c>
      <c r="E12" s="5" t="s">
        <v>85</v>
      </c>
      <c r="G12" t="s">
        <v>45</v>
      </c>
      <c r="H12">
        <v>8</v>
      </c>
      <c r="I12">
        <v>6</v>
      </c>
      <c r="J12">
        <v>2</v>
      </c>
      <c r="K12">
        <f>H12/(H12+J12)</f>
        <v>0.8</v>
      </c>
      <c r="L12">
        <f t="shared" si="0"/>
        <v>0.5714285714285714</v>
      </c>
    </row>
    <row r="13" spans="1:12" s="7" customFormat="1" x14ac:dyDescent="0.3">
      <c r="A13" s="5" t="s">
        <v>11</v>
      </c>
      <c r="B13" s="5" t="s">
        <v>81</v>
      </c>
      <c r="C13" s="5" t="s">
        <v>82</v>
      </c>
      <c r="D13" s="5">
        <v>167</v>
      </c>
      <c r="E13" s="5" t="s">
        <v>85</v>
      </c>
      <c r="G13" t="s">
        <v>50</v>
      </c>
      <c r="H13">
        <f>SUM(H3:H12)</f>
        <v>41</v>
      </c>
      <c r="I13">
        <f>SUM(I3:I12)</f>
        <v>43</v>
      </c>
      <c r="J13">
        <f>SUM(J3:J12)</f>
        <v>79</v>
      </c>
      <c r="K13">
        <f>H13/(H13+J13)</f>
        <v>0.34166666666666667</v>
      </c>
      <c r="L13">
        <f t="shared" si="0"/>
        <v>0.48809523809523808</v>
      </c>
    </row>
    <row r="14" spans="1:12" s="7" customFormat="1" x14ac:dyDescent="0.3">
      <c r="A14" s="5" t="s">
        <v>11</v>
      </c>
      <c r="B14" s="5" t="s">
        <v>81</v>
      </c>
      <c r="C14" s="5" t="s">
        <v>82</v>
      </c>
      <c r="D14" s="5">
        <v>169</v>
      </c>
      <c r="E14" s="5" t="s">
        <v>85</v>
      </c>
    </row>
    <row r="15" spans="1:12" s="7" customFormat="1" x14ac:dyDescent="0.3">
      <c r="A15" s="5" t="s">
        <v>11</v>
      </c>
      <c r="B15" s="5" t="s">
        <v>81</v>
      </c>
      <c r="C15" s="5" t="s">
        <v>82</v>
      </c>
      <c r="D15" s="5">
        <v>171</v>
      </c>
      <c r="E15" s="5" t="s">
        <v>85</v>
      </c>
    </row>
    <row r="16" spans="1:12" s="7" customFormat="1" x14ac:dyDescent="0.3">
      <c r="A16" s="5" t="s">
        <v>11</v>
      </c>
      <c r="B16" s="5" t="s">
        <v>81</v>
      </c>
      <c r="C16" s="5" t="s">
        <v>82</v>
      </c>
      <c r="D16" s="5">
        <v>173</v>
      </c>
      <c r="E16" s="5" t="s">
        <v>85</v>
      </c>
    </row>
    <row r="17" spans="1:5" s="7" customFormat="1" x14ac:dyDescent="0.3">
      <c r="A17" s="5" t="s">
        <v>11</v>
      </c>
      <c r="B17" s="5" t="s">
        <v>81</v>
      </c>
      <c r="C17" s="5" t="s">
        <v>82</v>
      </c>
      <c r="D17" s="5">
        <v>175</v>
      </c>
      <c r="E17" s="5" t="s">
        <v>85</v>
      </c>
    </row>
    <row r="18" spans="1:5" s="7" customFormat="1" x14ac:dyDescent="0.3">
      <c r="A18" s="5" t="s">
        <v>11</v>
      </c>
      <c r="B18" s="5" t="s">
        <v>81</v>
      </c>
      <c r="C18" s="5" t="s">
        <v>82</v>
      </c>
      <c r="D18" s="5">
        <v>177</v>
      </c>
      <c r="E18" s="5" t="s">
        <v>85</v>
      </c>
    </row>
    <row r="19" spans="1:5" s="7" customFormat="1" x14ac:dyDescent="0.3">
      <c r="A19" s="5" t="s">
        <v>11</v>
      </c>
      <c r="B19" s="5" t="s">
        <v>81</v>
      </c>
      <c r="C19" s="5" t="s">
        <v>82</v>
      </c>
      <c r="D19" s="5">
        <v>179</v>
      </c>
      <c r="E19" s="5" t="s">
        <v>85</v>
      </c>
    </row>
    <row r="20" spans="1:5" s="7" customFormat="1" x14ac:dyDescent="0.3">
      <c r="A20" s="5" t="s">
        <v>11</v>
      </c>
      <c r="B20" s="5" t="s">
        <v>81</v>
      </c>
      <c r="C20" s="5" t="s">
        <v>82</v>
      </c>
      <c r="D20" s="5">
        <v>181</v>
      </c>
      <c r="E20" s="5" t="s">
        <v>85</v>
      </c>
    </row>
    <row r="21" spans="1:5" x14ac:dyDescent="0.3">
      <c r="A21" s="4"/>
      <c r="B21" s="4"/>
      <c r="C21" s="4"/>
      <c r="D21" s="4"/>
      <c r="E21" s="4"/>
    </row>
    <row r="22" spans="1:5" x14ac:dyDescent="0.3">
      <c r="A22" s="6" t="s">
        <v>16</v>
      </c>
      <c r="B22" s="6" t="s">
        <v>81</v>
      </c>
      <c r="C22" s="6" t="s">
        <v>82</v>
      </c>
      <c r="D22" s="6">
        <v>93</v>
      </c>
      <c r="E22" s="6" t="s">
        <v>91</v>
      </c>
    </row>
    <row r="23" spans="1:5" x14ac:dyDescent="0.3">
      <c r="A23" s="6" t="s">
        <v>16</v>
      </c>
      <c r="B23" s="6" t="s">
        <v>81</v>
      </c>
      <c r="C23" s="6" t="s">
        <v>82</v>
      </c>
      <c r="D23" s="6">
        <v>92</v>
      </c>
      <c r="E23" s="6" t="s">
        <v>92</v>
      </c>
    </row>
    <row r="24" spans="1:5" x14ac:dyDescent="0.3">
      <c r="A24" s="6" t="s">
        <v>16</v>
      </c>
      <c r="B24" s="6" t="s">
        <v>81</v>
      </c>
      <c r="C24" s="6" t="s">
        <v>82</v>
      </c>
      <c r="D24" s="6">
        <v>54</v>
      </c>
      <c r="E24" s="6" t="s">
        <v>93</v>
      </c>
    </row>
    <row r="25" spans="1:5" x14ac:dyDescent="0.3">
      <c r="A25" s="6" t="s">
        <v>16</v>
      </c>
      <c r="B25" s="6" t="s">
        <v>81</v>
      </c>
      <c r="C25" s="6" t="s">
        <v>82</v>
      </c>
      <c r="D25" s="6">
        <v>56</v>
      </c>
      <c r="E25" s="6" t="s">
        <v>94</v>
      </c>
    </row>
    <row r="26" spans="1:5" x14ac:dyDescent="0.3">
      <c r="A26" s="2" t="s">
        <v>16</v>
      </c>
      <c r="B26" s="2" t="s">
        <v>81</v>
      </c>
      <c r="C26" s="2" t="s">
        <v>95</v>
      </c>
      <c r="D26" s="2">
        <v>133</v>
      </c>
      <c r="E26" s="2" t="s">
        <v>96</v>
      </c>
    </row>
    <row r="27" spans="1:5" x14ac:dyDescent="0.3">
      <c r="A27" s="2" t="s">
        <v>16</v>
      </c>
      <c r="B27" s="2" t="s">
        <v>81</v>
      </c>
      <c r="C27" s="2" t="s">
        <v>95</v>
      </c>
      <c r="D27" s="2">
        <v>133</v>
      </c>
      <c r="E27" s="2" t="s">
        <v>96</v>
      </c>
    </row>
    <row r="28" spans="1:5" x14ac:dyDescent="0.3">
      <c r="A28" s="4"/>
      <c r="B28" s="4"/>
      <c r="C28" s="4"/>
      <c r="D28" s="4"/>
      <c r="E28" s="4"/>
    </row>
    <row r="29" spans="1:5" x14ac:dyDescent="0.3">
      <c r="A29" s="6" t="s">
        <v>21</v>
      </c>
      <c r="B29" s="6" t="s">
        <v>81</v>
      </c>
      <c r="C29" s="6" t="s">
        <v>82</v>
      </c>
      <c r="D29" s="6">
        <v>212</v>
      </c>
      <c r="E29" s="6" t="s">
        <v>97</v>
      </c>
    </row>
    <row r="30" spans="1:5" x14ac:dyDescent="0.3">
      <c r="A30" s="6" t="s">
        <v>21</v>
      </c>
      <c r="B30" s="6" t="s">
        <v>81</v>
      </c>
      <c r="C30" s="6" t="s">
        <v>82</v>
      </c>
      <c r="D30" s="6">
        <v>213</v>
      </c>
      <c r="E30" s="6" t="s">
        <v>98</v>
      </c>
    </row>
    <row r="31" spans="1:5" x14ac:dyDescent="0.3">
      <c r="A31" s="2" t="s">
        <v>21</v>
      </c>
      <c r="B31" s="2" t="s">
        <v>81</v>
      </c>
      <c r="C31" s="2" t="s">
        <v>82</v>
      </c>
      <c r="D31" s="2">
        <v>262</v>
      </c>
      <c r="E31" s="2" t="s">
        <v>99</v>
      </c>
    </row>
    <row r="32" spans="1:5" x14ac:dyDescent="0.3">
      <c r="A32" s="2" t="s">
        <v>21</v>
      </c>
      <c r="B32" s="2" t="s">
        <v>81</v>
      </c>
      <c r="C32" s="2" t="s">
        <v>82</v>
      </c>
      <c r="D32" s="2">
        <v>264</v>
      </c>
      <c r="E32" s="2" t="s">
        <v>100</v>
      </c>
    </row>
    <row r="33" spans="1:5" x14ac:dyDescent="0.3">
      <c r="A33" s="2" t="s">
        <v>21</v>
      </c>
      <c r="B33" s="2" t="s">
        <v>81</v>
      </c>
      <c r="C33" s="2" t="s">
        <v>82</v>
      </c>
      <c r="D33" s="2">
        <v>266</v>
      </c>
      <c r="E33" s="2" t="s">
        <v>101</v>
      </c>
    </row>
    <row r="34" spans="1:5" x14ac:dyDescent="0.3">
      <c r="A34" s="4"/>
      <c r="B34" s="4"/>
      <c r="C34" s="4"/>
      <c r="D34" s="4"/>
      <c r="E34" s="4"/>
    </row>
    <row r="35" spans="1:5" x14ac:dyDescent="0.3">
      <c r="A35" s="3" t="s">
        <v>26</v>
      </c>
      <c r="B35" s="3" t="s">
        <v>81</v>
      </c>
      <c r="C35" s="3" t="s">
        <v>82</v>
      </c>
      <c r="D35" s="3">
        <v>96</v>
      </c>
      <c r="E35" s="3" t="s">
        <v>85</v>
      </c>
    </row>
    <row r="36" spans="1:5" x14ac:dyDescent="0.3">
      <c r="A36" s="2" t="s">
        <v>26</v>
      </c>
      <c r="B36" s="2" t="s">
        <v>81</v>
      </c>
      <c r="C36" s="2" t="s">
        <v>82</v>
      </c>
      <c r="D36" s="2">
        <v>99</v>
      </c>
      <c r="E36" s="2" t="s">
        <v>85</v>
      </c>
    </row>
    <row r="37" spans="1:5" x14ac:dyDescent="0.3">
      <c r="A37" s="2" t="s">
        <v>26</v>
      </c>
      <c r="B37" s="2" t="s">
        <v>81</v>
      </c>
      <c r="C37" s="2" t="s">
        <v>82</v>
      </c>
      <c r="D37" s="2">
        <v>101</v>
      </c>
      <c r="E37" s="2" t="s">
        <v>85</v>
      </c>
    </row>
    <row r="38" spans="1:5" x14ac:dyDescent="0.3">
      <c r="A38" s="4"/>
      <c r="B38" s="4"/>
      <c r="C38" s="4"/>
      <c r="D38" s="4"/>
      <c r="E38" s="4"/>
    </row>
    <row r="39" spans="1:5" x14ac:dyDescent="0.3">
      <c r="A39" s="2" t="s">
        <v>31</v>
      </c>
      <c r="B39" s="2" t="s">
        <v>81</v>
      </c>
      <c r="C39" s="2" t="s">
        <v>82</v>
      </c>
      <c r="D39" s="2">
        <v>108</v>
      </c>
      <c r="E39" s="2" t="s">
        <v>102</v>
      </c>
    </row>
    <row r="40" spans="1:5" x14ac:dyDescent="0.3">
      <c r="A40" s="2" t="s">
        <v>31</v>
      </c>
      <c r="B40" s="2" t="s">
        <v>81</v>
      </c>
      <c r="C40" s="2" t="s">
        <v>82</v>
      </c>
      <c r="D40" s="2">
        <v>139</v>
      </c>
      <c r="E40" s="2" t="s">
        <v>85</v>
      </c>
    </row>
    <row r="41" spans="1:5" x14ac:dyDescent="0.3">
      <c r="A41" s="4"/>
      <c r="B41" s="4"/>
      <c r="C41" s="4"/>
      <c r="D41" s="4"/>
      <c r="E41" s="4"/>
    </row>
    <row r="42" spans="1:5" x14ac:dyDescent="0.3">
      <c r="A42" s="6" t="s">
        <v>32</v>
      </c>
      <c r="B42" s="6" t="s">
        <v>81</v>
      </c>
      <c r="C42" s="6" t="s">
        <v>82</v>
      </c>
      <c r="D42" s="6">
        <v>127</v>
      </c>
      <c r="E42" s="6" t="s">
        <v>103</v>
      </c>
    </row>
    <row r="43" spans="1:5" x14ac:dyDescent="0.3">
      <c r="A43" s="6" t="s">
        <v>32</v>
      </c>
      <c r="B43" s="6" t="s">
        <v>81</v>
      </c>
      <c r="C43" s="6" t="s">
        <v>82</v>
      </c>
      <c r="D43" s="6">
        <v>129</v>
      </c>
      <c r="E43" s="6" t="s">
        <v>103</v>
      </c>
    </row>
    <row r="44" spans="1:5" x14ac:dyDescent="0.3">
      <c r="A44" s="6" t="s">
        <v>32</v>
      </c>
      <c r="B44" s="6" t="s">
        <v>81</v>
      </c>
      <c r="C44" s="6" t="s">
        <v>82</v>
      </c>
      <c r="D44" s="6">
        <v>131</v>
      </c>
      <c r="E44" s="6" t="s">
        <v>103</v>
      </c>
    </row>
    <row r="45" spans="1:5" x14ac:dyDescent="0.3">
      <c r="A45" s="6" t="s">
        <v>32</v>
      </c>
      <c r="B45" s="6" t="s">
        <v>81</v>
      </c>
      <c r="C45" s="6" t="s">
        <v>82</v>
      </c>
      <c r="D45" s="6">
        <v>133</v>
      </c>
      <c r="E45" s="6" t="s">
        <v>103</v>
      </c>
    </row>
    <row r="46" spans="1:5" x14ac:dyDescent="0.3">
      <c r="A46" s="6" t="s">
        <v>32</v>
      </c>
      <c r="B46" s="6" t="s">
        <v>81</v>
      </c>
      <c r="C46" s="6" t="s">
        <v>82</v>
      </c>
      <c r="D46" s="6">
        <v>135</v>
      </c>
      <c r="E46" s="6" t="s">
        <v>104</v>
      </c>
    </row>
    <row r="47" spans="1:5" x14ac:dyDescent="0.3">
      <c r="A47" s="6" t="s">
        <v>32</v>
      </c>
      <c r="B47" s="6" t="s">
        <v>81</v>
      </c>
      <c r="C47" s="6" t="s">
        <v>82</v>
      </c>
      <c r="D47" s="6">
        <v>137</v>
      </c>
      <c r="E47" s="6" t="s">
        <v>104</v>
      </c>
    </row>
    <row r="48" spans="1:5" x14ac:dyDescent="0.3">
      <c r="A48" s="6" t="s">
        <v>32</v>
      </c>
      <c r="B48" s="6" t="s">
        <v>81</v>
      </c>
      <c r="C48" s="6" t="s">
        <v>82</v>
      </c>
      <c r="D48" s="6">
        <v>139</v>
      </c>
      <c r="E48" s="6" t="s">
        <v>105</v>
      </c>
    </row>
    <row r="49" spans="1:5" x14ac:dyDescent="0.3">
      <c r="A49" s="6" t="s">
        <v>32</v>
      </c>
      <c r="B49" s="6" t="s">
        <v>81</v>
      </c>
      <c r="C49" s="6" t="s">
        <v>82</v>
      </c>
      <c r="D49" s="6">
        <v>141</v>
      </c>
      <c r="E49" s="6" t="s">
        <v>106</v>
      </c>
    </row>
    <row r="50" spans="1:5" x14ac:dyDescent="0.3">
      <c r="A50" s="2" t="s">
        <v>32</v>
      </c>
      <c r="B50" s="2" t="s">
        <v>81</v>
      </c>
      <c r="C50" s="2" t="s">
        <v>82</v>
      </c>
      <c r="D50" s="2">
        <v>156</v>
      </c>
      <c r="E50" s="2" t="s">
        <v>85</v>
      </c>
    </row>
    <row r="51" spans="1:5" x14ac:dyDescent="0.3">
      <c r="A51" s="2" t="s">
        <v>32</v>
      </c>
      <c r="B51" s="2" t="s">
        <v>81</v>
      </c>
      <c r="C51" s="2" t="s">
        <v>82</v>
      </c>
      <c r="D51" s="2">
        <v>158</v>
      </c>
      <c r="E51" s="2" t="s">
        <v>85</v>
      </c>
    </row>
    <row r="52" spans="1:5" x14ac:dyDescent="0.3">
      <c r="A52" s="2" t="s">
        <v>32</v>
      </c>
      <c r="B52" s="2" t="s">
        <v>81</v>
      </c>
      <c r="C52" s="2" t="s">
        <v>82</v>
      </c>
      <c r="D52" s="2">
        <v>160</v>
      </c>
      <c r="E52" s="2" t="s">
        <v>85</v>
      </c>
    </row>
    <row r="53" spans="1:5" x14ac:dyDescent="0.3">
      <c r="A53" s="2" t="s">
        <v>32</v>
      </c>
      <c r="B53" s="2" t="s">
        <v>81</v>
      </c>
      <c r="C53" s="2" t="s">
        <v>82</v>
      </c>
      <c r="D53" s="2">
        <v>162</v>
      </c>
      <c r="E53" s="2" t="s">
        <v>85</v>
      </c>
    </row>
    <row r="54" spans="1:5" x14ac:dyDescent="0.3">
      <c r="A54" s="6" t="s">
        <v>32</v>
      </c>
      <c r="B54" s="6" t="s">
        <v>81</v>
      </c>
      <c r="C54" s="6" t="s">
        <v>82</v>
      </c>
      <c r="D54" s="6">
        <v>164</v>
      </c>
      <c r="E54" s="6" t="s">
        <v>85</v>
      </c>
    </row>
    <row r="55" spans="1:5" x14ac:dyDescent="0.3">
      <c r="A55" s="6" t="s">
        <v>32</v>
      </c>
      <c r="B55" s="6" t="s">
        <v>81</v>
      </c>
      <c r="C55" s="6" t="s">
        <v>82</v>
      </c>
      <c r="D55" s="6">
        <v>166</v>
      </c>
      <c r="E55" s="6" t="s">
        <v>85</v>
      </c>
    </row>
    <row r="56" spans="1:5" x14ac:dyDescent="0.3">
      <c r="A56" s="6" t="s">
        <v>32</v>
      </c>
      <c r="B56" s="6" t="s">
        <v>81</v>
      </c>
      <c r="C56" s="6" t="s">
        <v>82</v>
      </c>
      <c r="D56" s="6">
        <v>168</v>
      </c>
      <c r="E56" s="6" t="s">
        <v>85</v>
      </c>
    </row>
    <row r="57" spans="1:5" x14ac:dyDescent="0.3">
      <c r="A57" s="6" t="s">
        <v>32</v>
      </c>
      <c r="B57" s="6" t="s">
        <v>81</v>
      </c>
      <c r="C57" s="6" t="s">
        <v>82</v>
      </c>
      <c r="D57" s="6">
        <v>170</v>
      </c>
      <c r="E57" s="6" t="s">
        <v>85</v>
      </c>
    </row>
    <row r="58" spans="1:5" x14ac:dyDescent="0.3">
      <c r="A58" s="6" t="s">
        <v>32</v>
      </c>
      <c r="B58" s="6" t="s">
        <v>81</v>
      </c>
      <c r="C58" s="6" t="s">
        <v>82</v>
      </c>
      <c r="D58" s="6">
        <v>172</v>
      </c>
      <c r="E58" s="6" t="s">
        <v>85</v>
      </c>
    </row>
    <row r="59" spans="1:5" x14ac:dyDescent="0.3">
      <c r="A59" s="6" t="s">
        <v>32</v>
      </c>
      <c r="B59" s="6" t="s">
        <v>81</v>
      </c>
      <c r="C59" s="6" t="s">
        <v>82</v>
      </c>
      <c r="D59" s="6">
        <v>174</v>
      </c>
      <c r="E59" s="6" t="s">
        <v>85</v>
      </c>
    </row>
    <row r="60" spans="1:5" x14ac:dyDescent="0.3">
      <c r="A60" s="6" t="s">
        <v>32</v>
      </c>
      <c r="B60" s="6" t="s">
        <v>81</v>
      </c>
      <c r="C60" s="6" t="s">
        <v>82</v>
      </c>
      <c r="D60" s="6">
        <v>176</v>
      </c>
      <c r="E60" s="6" t="s">
        <v>85</v>
      </c>
    </row>
    <row r="61" spans="1:5" x14ac:dyDescent="0.3">
      <c r="A61" s="6" t="s">
        <v>32</v>
      </c>
      <c r="B61" s="6" t="s">
        <v>81</v>
      </c>
      <c r="C61" s="6" t="s">
        <v>82</v>
      </c>
      <c r="D61" s="6">
        <v>178</v>
      </c>
      <c r="E61" s="6" t="s">
        <v>85</v>
      </c>
    </row>
    <row r="62" spans="1:5" x14ac:dyDescent="0.3">
      <c r="A62" s="6" t="s">
        <v>32</v>
      </c>
      <c r="B62" s="6" t="s">
        <v>81</v>
      </c>
      <c r="C62" s="6" t="s">
        <v>82</v>
      </c>
      <c r="D62" s="6">
        <v>186</v>
      </c>
      <c r="E62" s="6" t="s">
        <v>85</v>
      </c>
    </row>
    <row r="63" spans="1:5" x14ac:dyDescent="0.3">
      <c r="A63" s="6" t="s">
        <v>32</v>
      </c>
      <c r="B63" s="6" t="s">
        <v>81</v>
      </c>
      <c r="C63" s="6" t="s">
        <v>82</v>
      </c>
      <c r="D63" s="6">
        <v>188</v>
      </c>
      <c r="E63" s="6" t="s">
        <v>85</v>
      </c>
    </row>
    <row r="64" spans="1:5" x14ac:dyDescent="0.3">
      <c r="A64" s="6" t="s">
        <v>32</v>
      </c>
      <c r="B64" s="6" t="s">
        <v>81</v>
      </c>
      <c r="C64" s="6" t="s">
        <v>82</v>
      </c>
      <c r="D64" s="6">
        <v>190</v>
      </c>
      <c r="E64" s="6" t="s">
        <v>85</v>
      </c>
    </row>
    <row r="65" spans="1:5" x14ac:dyDescent="0.3">
      <c r="A65" s="6" t="s">
        <v>32</v>
      </c>
      <c r="B65" s="6" t="s">
        <v>81</v>
      </c>
      <c r="C65" s="6" t="s">
        <v>82</v>
      </c>
      <c r="D65" s="6">
        <v>192</v>
      </c>
      <c r="E65" s="6" t="s">
        <v>85</v>
      </c>
    </row>
    <row r="66" spans="1:5" x14ac:dyDescent="0.3">
      <c r="A66" s="6" t="s">
        <v>32</v>
      </c>
      <c r="B66" s="6" t="s">
        <v>81</v>
      </c>
      <c r="C66" s="6" t="s">
        <v>82</v>
      </c>
      <c r="D66" s="6">
        <v>194</v>
      </c>
      <c r="E66" s="6" t="s">
        <v>85</v>
      </c>
    </row>
    <row r="67" spans="1:5" x14ac:dyDescent="0.3">
      <c r="A67" s="6" t="s">
        <v>32</v>
      </c>
      <c r="B67" s="6" t="s">
        <v>81</v>
      </c>
      <c r="C67" s="6" t="s">
        <v>82</v>
      </c>
      <c r="D67" s="6">
        <v>196</v>
      </c>
      <c r="E67" s="6" t="s">
        <v>85</v>
      </c>
    </row>
    <row r="68" spans="1:5" x14ac:dyDescent="0.3">
      <c r="A68" s="6" t="s">
        <v>32</v>
      </c>
      <c r="B68" s="6" t="s">
        <v>81</v>
      </c>
      <c r="C68" s="6" t="s">
        <v>82</v>
      </c>
      <c r="D68" s="6">
        <v>198</v>
      </c>
      <c r="E68" s="6" t="s">
        <v>85</v>
      </c>
    </row>
    <row r="69" spans="1:5" x14ac:dyDescent="0.3">
      <c r="A69" s="6" t="s">
        <v>32</v>
      </c>
      <c r="B69" s="6" t="s">
        <v>81</v>
      </c>
      <c r="C69" s="6" t="s">
        <v>82</v>
      </c>
      <c r="D69" s="6">
        <v>200</v>
      </c>
      <c r="E69" s="6" t="s">
        <v>85</v>
      </c>
    </row>
    <row r="70" spans="1:5" x14ac:dyDescent="0.3">
      <c r="A70" s="6" t="s">
        <v>32</v>
      </c>
      <c r="B70" s="6" t="s">
        <v>81</v>
      </c>
      <c r="C70" s="6" t="s">
        <v>82</v>
      </c>
      <c r="D70" s="6">
        <v>202</v>
      </c>
      <c r="E70" s="6" t="s">
        <v>85</v>
      </c>
    </row>
    <row r="71" spans="1:5" x14ac:dyDescent="0.3">
      <c r="A71" s="6" t="s">
        <v>32</v>
      </c>
      <c r="B71" s="6" t="s">
        <v>81</v>
      </c>
      <c r="C71" s="6" t="s">
        <v>82</v>
      </c>
      <c r="D71" s="6">
        <v>204</v>
      </c>
      <c r="E71" s="6" t="s">
        <v>85</v>
      </c>
    </row>
    <row r="72" spans="1:5" x14ac:dyDescent="0.3">
      <c r="A72" s="6" t="s">
        <v>32</v>
      </c>
      <c r="B72" s="6" t="s">
        <v>81</v>
      </c>
      <c r="C72" s="6" t="s">
        <v>82</v>
      </c>
      <c r="D72" s="6">
        <v>206</v>
      </c>
      <c r="E72" s="6" t="s">
        <v>85</v>
      </c>
    </row>
    <row r="73" spans="1:5" x14ac:dyDescent="0.3">
      <c r="A73" s="4"/>
      <c r="B73" s="4"/>
      <c r="C73" s="4"/>
      <c r="D73" s="4"/>
      <c r="E73" s="4"/>
    </row>
    <row r="74" spans="1:5" x14ac:dyDescent="0.3">
      <c r="A74" s="6" t="s">
        <v>42</v>
      </c>
      <c r="B74" s="6" t="s">
        <v>81</v>
      </c>
      <c r="C74" s="6" t="s">
        <v>82</v>
      </c>
      <c r="D74" s="6">
        <v>87</v>
      </c>
      <c r="E74" s="6" t="s">
        <v>91</v>
      </c>
    </row>
    <row r="75" spans="1:5" x14ac:dyDescent="0.3">
      <c r="A75" s="6" t="s">
        <v>42</v>
      </c>
      <c r="B75" s="6" t="s">
        <v>81</v>
      </c>
      <c r="C75" s="6" t="s">
        <v>82</v>
      </c>
      <c r="D75" s="6">
        <v>86</v>
      </c>
      <c r="E75" s="6" t="s">
        <v>92</v>
      </c>
    </row>
    <row r="76" spans="1:5" x14ac:dyDescent="0.3">
      <c r="A76" s="2" t="s">
        <v>42</v>
      </c>
      <c r="B76" s="2" t="s">
        <v>81</v>
      </c>
      <c r="C76" s="2" t="s">
        <v>82</v>
      </c>
      <c r="D76" s="2">
        <v>122</v>
      </c>
      <c r="E76" s="2" t="s">
        <v>107</v>
      </c>
    </row>
    <row r="77" spans="1:5" x14ac:dyDescent="0.3">
      <c r="A77" s="2" t="s">
        <v>42</v>
      </c>
      <c r="B77" s="2" t="s">
        <v>81</v>
      </c>
      <c r="C77" s="2" t="s">
        <v>82</v>
      </c>
      <c r="D77" s="2">
        <v>123</v>
      </c>
      <c r="E77" s="2" t="s">
        <v>108</v>
      </c>
    </row>
    <row r="78" spans="1:5" x14ac:dyDescent="0.3">
      <c r="A78" s="2" t="s">
        <v>42</v>
      </c>
      <c r="B78" s="2" t="s">
        <v>81</v>
      </c>
      <c r="C78" s="2" t="s">
        <v>95</v>
      </c>
      <c r="D78" s="2">
        <v>126</v>
      </c>
      <c r="E78" s="2" t="s">
        <v>96</v>
      </c>
    </row>
    <row r="79" spans="1:5" x14ac:dyDescent="0.3">
      <c r="A79" s="2" t="s">
        <v>42</v>
      </c>
      <c r="B79" s="2" t="s">
        <v>81</v>
      </c>
      <c r="C79" s="2" t="s">
        <v>95</v>
      </c>
      <c r="D79" s="2">
        <v>126</v>
      </c>
      <c r="E79" s="2" t="s">
        <v>96</v>
      </c>
    </row>
    <row r="80" spans="1:5" x14ac:dyDescent="0.3">
      <c r="A80" s="2" t="s">
        <v>42</v>
      </c>
      <c r="B80" s="2" t="s">
        <v>81</v>
      </c>
      <c r="C80" s="2" t="s">
        <v>95</v>
      </c>
      <c r="D80" s="2">
        <v>138</v>
      </c>
      <c r="E80" s="2" t="s">
        <v>96</v>
      </c>
    </row>
    <row r="81" spans="1:8" x14ac:dyDescent="0.3">
      <c r="A81" s="2" t="s">
        <v>42</v>
      </c>
      <c r="B81" s="2" t="s">
        <v>81</v>
      </c>
      <c r="C81" s="2" t="s">
        <v>95</v>
      </c>
      <c r="D81" s="2">
        <v>138</v>
      </c>
      <c r="E81" s="2" t="s">
        <v>96</v>
      </c>
    </row>
    <row r="82" spans="1:8" x14ac:dyDescent="0.3">
      <c r="A82" s="4"/>
      <c r="B82" s="4"/>
      <c r="C82" s="4"/>
      <c r="D82" s="4"/>
      <c r="E82" s="4"/>
    </row>
    <row r="83" spans="1:8" x14ac:dyDescent="0.3">
      <c r="A83" s="6" t="s">
        <v>45</v>
      </c>
      <c r="B83" s="6" t="s">
        <v>81</v>
      </c>
      <c r="C83" s="6" t="s">
        <v>82</v>
      </c>
      <c r="D83" s="6">
        <v>198</v>
      </c>
      <c r="E83" s="6" t="s">
        <v>109</v>
      </c>
    </row>
    <row r="84" spans="1:8" x14ac:dyDescent="0.3">
      <c r="A84" s="6" t="s">
        <v>45</v>
      </c>
      <c r="B84" s="6" t="s">
        <v>81</v>
      </c>
      <c r="C84" s="6" t="s">
        <v>82</v>
      </c>
      <c r="D84" s="6">
        <v>198</v>
      </c>
      <c r="E84" s="6" t="s">
        <v>109</v>
      </c>
      <c r="H84">
        <f ca="1">H84</f>
        <v>0</v>
      </c>
    </row>
    <row r="85" spans="1:8" x14ac:dyDescent="0.3">
      <c r="A85" s="6" t="s">
        <v>45</v>
      </c>
      <c r="B85" s="6" t="s">
        <v>81</v>
      </c>
      <c r="C85" s="6" t="s">
        <v>82</v>
      </c>
      <c r="D85" s="6">
        <v>198</v>
      </c>
      <c r="E85" s="6" t="s">
        <v>109</v>
      </c>
    </row>
    <row r="86" spans="1:8" x14ac:dyDescent="0.3">
      <c r="A86" s="6" t="s">
        <v>45</v>
      </c>
      <c r="B86" s="6" t="s">
        <v>81</v>
      </c>
      <c r="C86" s="6" t="s">
        <v>82</v>
      </c>
      <c r="D86" s="6">
        <v>54</v>
      </c>
      <c r="E86" s="6" t="s">
        <v>110</v>
      </c>
    </row>
    <row r="87" spans="1:8" x14ac:dyDescent="0.3">
      <c r="A87" s="6" t="s">
        <v>45</v>
      </c>
      <c r="B87" s="6" t="s">
        <v>81</v>
      </c>
      <c r="C87" s="6" t="s">
        <v>82</v>
      </c>
      <c r="D87" s="6">
        <v>55</v>
      </c>
      <c r="E87" s="6" t="s">
        <v>111</v>
      </c>
    </row>
    <row r="88" spans="1:8" x14ac:dyDescent="0.3">
      <c r="A88" s="3" t="s">
        <v>45</v>
      </c>
      <c r="B88" s="3" t="s">
        <v>81</v>
      </c>
      <c r="C88" s="3" t="s">
        <v>82</v>
      </c>
      <c r="D88" s="3">
        <v>167</v>
      </c>
      <c r="E88" s="3" t="s">
        <v>85</v>
      </c>
    </row>
    <row r="89" spans="1:8" x14ac:dyDescent="0.3">
      <c r="A89" s="2" t="s">
        <v>45</v>
      </c>
      <c r="B89" s="2" t="s">
        <v>81</v>
      </c>
      <c r="C89" s="2" t="s">
        <v>82</v>
      </c>
      <c r="D89" s="2">
        <v>170</v>
      </c>
      <c r="E89" s="2" t="s">
        <v>85</v>
      </c>
    </row>
    <row r="90" spans="1:8" x14ac:dyDescent="0.3">
      <c r="A90" s="2" t="s">
        <v>45</v>
      </c>
      <c r="B90" s="2" t="s">
        <v>81</v>
      </c>
      <c r="C90" s="2" t="s">
        <v>82</v>
      </c>
      <c r="D90" s="2">
        <v>172</v>
      </c>
      <c r="E90" s="2" t="s">
        <v>85</v>
      </c>
    </row>
    <row r="91" spans="1:8" x14ac:dyDescent="0.3">
      <c r="A91" s="2" t="s">
        <v>45</v>
      </c>
      <c r="B91" s="2" t="s">
        <v>81</v>
      </c>
      <c r="C91" s="2" t="s">
        <v>82</v>
      </c>
      <c r="D91" s="2">
        <v>174</v>
      </c>
      <c r="E91" s="2" t="s">
        <v>85</v>
      </c>
    </row>
    <row r="92" spans="1:8" x14ac:dyDescent="0.3">
      <c r="A92" s="2" t="s">
        <v>45</v>
      </c>
      <c r="B92" s="2" t="s">
        <v>81</v>
      </c>
      <c r="C92" s="2" t="s">
        <v>82</v>
      </c>
      <c r="D92" s="2">
        <v>176</v>
      </c>
      <c r="E92" s="2" t="s">
        <v>85</v>
      </c>
    </row>
    <row r="93" spans="1:8" x14ac:dyDescent="0.3">
      <c r="A93" s="2" t="s">
        <v>45</v>
      </c>
      <c r="B93" s="2" t="s">
        <v>81</v>
      </c>
      <c r="C93" s="2" t="s">
        <v>82</v>
      </c>
      <c r="D93" s="2">
        <v>178</v>
      </c>
      <c r="E93" s="2" t="s">
        <v>85</v>
      </c>
    </row>
    <row r="94" spans="1:8" x14ac:dyDescent="0.3">
      <c r="A94" s="2" t="s">
        <v>45</v>
      </c>
      <c r="B94" s="2" t="s">
        <v>81</v>
      </c>
      <c r="C94" s="2" t="s">
        <v>82</v>
      </c>
      <c r="D94" s="2">
        <v>180</v>
      </c>
      <c r="E94" s="2" t="s">
        <v>85</v>
      </c>
    </row>
    <row r="95" spans="1:8" x14ac:dyDescent="0.3">
      <c r="A95" s="2" t="s">
        <v>45</v>
      </c>
      <c r="B95" s="2" t="s">
        <v>81</v>
      </c>
      <c r="C95" s="2" t="s">
        <v>82</v>
      </c>
      <c r="D95" s="2">
        <v>182</v>
      </c>
      <c r="E95" s="2" t="s">
        <v>85</v>
      </c>
    </row>
    <row r="96" spans="1:8" x14ac:dyDescent="0.3">
      <c r="A96" s="2" t="s">
        <v>45</v>
      </c>
      <c r="B96" s="2" t="s">
        <v>81</v>
      </c>
      <c r="C96" s="2" t="s">
        <v>82</v>
      </c>
      <c r="D96" s="2">
        <v>184</v>
      </c>
      <c r="E96" s="2" t="s">
        <v>85</v>
      </c>
    </row>
    <row r="97" spans="1:5" x14ac:dyDescent="0.3">
      <c r="A97" s="2" t="s">
        <v>45</v>
      </c>
      <c r="B97" s="2" t="s">
        <v>81</v>
      </c>
      <c r="C97" s="2" t="s">
        <v>82</v>
      </c>
      <c r="D97" s="2">
        <v>186</v>
      </c>
      <c r="E97" s="2" t="s">
        <v>85</v>
      </c>
    </row>
    <row r="98" spans="1:5" x14ac:dyDescent="0.3">
      <c r="A98" s="2" t="s">
        <v>45</v>
      </c>
      <c r="B98" s="2" t="s">
        <v>81</v>
      </c>
      <c r="C98" s="2" t="s">
        <v>82</v>
      </c>
      <c r="D98" s="2">
        <v>188</v>
      </c>
      <c r="E98" s="2" t="s">
        <v>85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112</v>
      </c>
      <c r="C1" s="1" t="s">
        <v>113</v>
      </c>
    </row>
    <row r="2" spans="1:3" x14ac:dyDescent="0.3">
      <c r="A2" t="s">
        <v>5</v>
      </c>
      <c r="B2">
        <v>201</v>
      </c>
      <c r="C2">
        <v>1.474210014566779E-2</v>
      </c>
    </row>
    <row r="3" spans="1:3" x14ac:dyDescent="0.3">
      <c r="A3" t="s">
        <v>11</v>
      </c>
      <c r="B3">
        <v>199</v>
      </c>
      <c r="C3">
        <v>2.0810199668630961E-2</v>
      </c>
    </row>
    <row r="4" spans="1:3" x14ac:dyDescent="0.3">
      <c r="A4" t="s">
        <v>16</v>
      </c>
      <c r="B4">
        <v>329</v>
      </c>
      <c r="C4">
        <v>3.0548600014299151E-2</v>
      </c>
    </row>
    <row r="5" spans="1:3" x14ac:dyDescent="0.3">
      <c r="A5" t="s">
        <v>21</v>
      </c>
      <c r="B5">
        <v>283</v>
      </c>
      <c r="C5">
        <v>3.8429500069469207E-2</v>
      </c>
    </row>
    <row r="6" spans="1:3" x14ac:dyDescent="0.3">
      <c r="A6" t="s">
        <v>26</v>
      </c>
      <c r="B6">
        <v>121</v>
      </c>
      <c r="C6">
        <v>3.8494499865919352E-2</v>
      </c>
    </row>
    <row r="7" spans="1:3" x14ac:dyDescent="0.3">
      <c r="A7" t="s">
        <v>31</v>
      </c>
      <c r="B7">
        <v>144</v>
      </c>
      <c r="C7">
        <v>4.4519399991258979E-2</v>
      </c>
    </row>
    <row r="8" spans="1:3" x14ac:dyDescent="0.3">
      <c r="A8" t="s">
        <v>32</v>
      </c>
      <c r="B8">
        <v>245</v>
      </c>
      <c r="C8">
        <v>6.6336900228634477E-2</v>
      </c>
    </row>
    <row r="9" spans="1:3" x14ac:dyDescent="0.3">
      <c r="A9" t="s">
        <v>37</v>
      </c>
      <c r="B9">
        <v>509</v>
      </c>
      <c r="C9">
        <v>8.8802200276404619E-2</v>
      </c>
    </row>
    <row r="10" spans="1:3" x14ac:dyDescent="0.3">
      <c r="A10" t="s">
        <v>42</v>
      </c>
      <c r="B10">
        <v>240</v>
      </c>
      <c r="C10">
        <v>9.9912699777632952E-2</v>
      </c>
    </row>
    <row r="11" spans="1:3" x14ac:dyDescent="0.3">
      <c r="A11" t="s">
        <v>45</v>
      </c>
      <c r="B11">
        <v>210</v>
      </c>
      <c r="C11">
        <v>0.11127320025116209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CWE 1245 Results</vt:lpstr>
      <vt:lpstr>CWE 1233 Results</vt:lpstr>
      <vt:lpstr>Detailed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2025-09-24T18:25:01Z</dcterms:created>
  <dcterms:modified xsi:type="dcterms:W3CDTF">2025-09-25T20:52:58Z</dcterms:modified>
</cp:coreProperties>
</file>