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rks\OneDrive\Documents\UC\Research\DetectRTL\CWE_Detection\Results\trial_runs_for_paper\"/>
    </mc:Choice>
  </mc:AlternateContent>
  <xr:revisionPtr revIDLastSave="0" documentId="13_ncr:1_{8EAC9127-D7A7-4B0C-8988-8E09F57F893D}" xr6:coauthVersionLast="47" xr6:coauthVersionMax="47" xr10:uidLastSave="{00000000-0000-0000-0000-000000000000}"/>
  <bookViews>
    <workbookView xWindow="-9690" yWindow="-16455" windowWidth="29040" windowHeight="15720" firstSheet="1" activeTab="1" xr2:uid="{00000000-000D-0000-FFFF-FFFF00000000}"/>
  </bookViews>
  <sheets>
    <sheet name="Results" sheetId="4" r:id="rId1"/>
    <sheet name="Detection Statistic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" i="5" l="1"/>
  <c r="D46" i="5"/>
  <c r="J46" i="5"/>
  <c r="J45" i="5"/>
  <c r="I45" i="5"/>
  <c r="D45" i="5"/>
  <c r="C45" i="5"/>
  <c r="AD6" i="4"/>
  <c r="AC6" i="4"/>
  <c r="Y6" i="4"/>
  <c r="Z6" i="4"/>
  <c r="AA6" i="4"/>
  <c r="AB6" i="4"/>
  <c r="X6" i="4"/>
  <c r="AD3" i="4"/>
  <c r="AD4" i="4"/>
  <c r="AD5" i="4"/>
  <c r="AD2" i="4"/>
  <c r="AC5" i="4"/>
  <c r="AC2" i="4"/>
  <c r="AC4" i="4"/>
  <c r="AC3" i="4"/>
</calcChain>
</file>

<file path=xl/sharedStrings.xml><?xml version="1.0" encoding="utf-8"?>
<sst xmlns="http://schemas.openxmlformats.org/spreadsheetml/2006/main" count="265" uniqueCount="116">
  <si>
    <t>Actual Vulnerable</t>
  </si>
  <si>
    <t>Actual Secure</t>
  </si>
  <si>
    <t>Predicted Vulnerable</t>
  </si>
  <si>
    <t>TP</t>
  </si>
  <si>
    <t>FP</t>
  </si>
  <si>
    <t>Predicted Secure</t>
  </si>
  <si>
    <t>FN</t>
  </si>
  <si>
    <t>TN</t>
  </si>
  <si>
    <t>Total Case Statements</t>
  </si>
  <si>
    <t>Total Vulnerable Case Statements</t>
  </si>
  <si>
    <t>Total Secure Case Statements</t>
  </si>
  <si>
    <t>Predicted Vulnerable Case Statements</t>
  </si>
  <si>
    <t>Predicted Secure Case Statements</t>
  </si>
  <si>
    <t>Recall</t>
  </si>
  <si>
    <t>Precision</t>
  </si>
  <si>
    <t>CWE-1245</t>
  </si>
  <si>
    <t>Total Security-Sensitive Registers</t>
  </si>
  <si>
    <t>Total Vulnerable Security-Sensitive Registers</t>
  </si>
  <si>
    <t>Total Secure Security-Sensitive Registers</t>
  </si>
  <si>
    <t>Total Detected Security-Sensitive Registers</t>
  </si>
  <si>
    <t>Predicted Vulnerable Security-Sensitive Registers</t>
  </si>
  <si>
    <t>Predicted Secure Security-Sensitive Registers</t>
  </si>
  <si>
    <t>CWE-1233</t>
  </si>
  <si>
    <t>Total Registers Needing Reset</t>
  </si>
  <si>
    <t>Total Vulnerable Registers Needing Reset</t>
  </si>
  <si>
    <t>Total Secure Registers Needing Reset</t>
  </si>
  <si>
    <t>Total Detected Registers Needing Reset</t>
  </si>
  <si>
    <t>Predicted Vulnerable Registers Needing Reset</t>
  </si>
  <si>
    <t>Predicted Secure Registers Needing Reset</t>
  </si>
  <si>
    <t>CWE-226</t>
  </si>
  <si>
    <t>Total Module Definitions</t>
  </si>
  <si>
    <t>Total Vulnerable Modules</t>
  </si>
  <si>
    <t>Total Secure Modules</t>
  </si>
  <si>
    <t>Predicted Vulnerable Modules</t>
  </si>
  <si>
    <t>Predicted Secure Modules</t>
  </si>
  <si>
    <t>CWE-1431</t>
  </si>
  <si>
    <t>CWE</t>
  </si>
  <si>
    <t># Vulnerabilities Detected</t>
  </si>
  <si>
    <t># Actual Vulnerabilities</t>
  </si>
  <si>
    <t>Total</t>
  </si>
  <si>
    <t>File Name</t>
  </si>
  <si>
    <t>Module Name</t>
  </si>
  <si>
    <t>LoC</t>
  </si>
  <si>
    <t>Detection Time</t>
  </si>
  <si>
    <t>CWE_1431_example_10_vulnerable_parsed.json</t>
  </si>
  <si>
    <t>aes_192</t>
  </si>
  <si>
    <t>expand_key_type_A_192</t>
  </si>
  <si>
    <t>expand_key_type_B_192</t>
  </si>
  <si>
    <t>expand_key_type_C_192</t>
  </si>
  <si>
    <t>expand_key_type_D_192</t>
  </si>
  <si>
    <t>CWE_1431_example_1_vulnerable_parsed.json</t>
  </si>
  <si>
    <t>crypto_core_with_leakage</t>
  </si>
  <si>
    <t>CWE_1431_example_2_vulnerable_parsed.json</t>
  </si>
  <si>
    <t>otp_ctrl_scrmbl</t>
  </si>
  <si>
    <t>CWE_1431_example_3_vulnerable_parsed.json</t>
  </si>
  <si>
    <t>aes1_core</t>
  </si>
  <si>
    <t>CWE_1431_example_4_vulnerable_parsed.json</t>
  </si>
  <si>
    <t>sha256</t>
  </si>
  <si>
    <t>CWE_1431_example_5_vulnerable_parsed.json</t>
  </si>
  <si>
    <t>hmac</t>
  </si>
  <si>
    <t>CWE_1431_example_6_vulnerable_parsed.json</t>
  </si>
  <si>
    <t>aes_1cc</t>
  </si>
  <si>
    <t>CWE_1431_example_7_vulnerable_parsed.json</t>
  </si>
  <si>
    <t>chacha_core</t>
  </si>
  <si>
    <t>CWE_1431_example_8_vulnerable_parsed.json</t>
  </si>
  <si>
    <t>md5</t>
  </si>
  <si>
    <t>CWE_1431_example_9_vulnerable_parsed.json</t>
  </si>
  <si>
    <t>keccak</t>
  </si>
  <si>
    <t>CWE_1245_example_10_vulnerable_parsed.json</t>
  </si>
  <si>
    <t>CWE_1245_example_1_vulnerable_parsed.json</t>
  </si>
  <si>
    <t>fsm_1</t>
  </si>
  <si>
    <t>CWE_1245_example_2_vulnerable_parsed.json</t>
  </si>
  <si>
    <t>mod_exp</t>
  </si>
  <si>
    <t>CWE_1245_example_3_vulnerable_parsed.json</t>
  </si>
  <si>
    <t>aes2_interface</t>
  </si>
  <si>
    <t>CWE_1245_example_4_vulnerable_parsed.json</t>
  </si>
  <si>
    <t>fsm_module</t>
  </si>
  <si>
    <t>CWE_1245_example_5_vulnerable_parsed.json</t>
  </si>
  <si>
    <t>CWE_1245_example_6_vulnerable_parsed.json</t>
  </si>
  <si>
    <t>CWE_1245_example_7_vulnerable_parsed.json</t>
  </si>
  <si>
    <t>pkt_wrapper</t>
  </si>
  <si>
    <t>CWE_1245_example_8_vulnerable_parsed.json</t>
  </si>
  <si>
    <t>aes0_wrapper</t>
  </si>
  <si>
    <t>CWE_1233_example_10_vulnerable_parsed.json</t>
  </si>
  <si>
    <t>aes2_wrapper</t>
  </si>
  <si>
    <t>CWE_1233_example_1_vulnerable_parsed.json</t>
  </si>
  <si>
    <t>dma_wrapper</t>
  </si>
  <si>
    <t>CWE_1233_example_2_vulnerable_parsed.json</t>
  </si>
  <si>
    <t>hmac_wrapper</t>
  </si>
  <si>
    <t>CWE_1233_example_3_vulnerable_parsed.json</t>
  </si>
  <si>
    <t>aes1_wrapper</t>
  </si>
  <si>
    <t>CWE_1233_example_4_vulnerable_parsed.json</t>
  </si>
  <si>
    <t>CWE_1233_example_5_vulnerable_parsed.json</t>
  </si>
  <si>
    <t>acct_wrapper</t>
  </si>
  <si>
    <t>CWE_1233_example_6_vulnerable_parsed.json</t>
  </si>
  <si>
    <t>rng_wrapper</t>
  </si>
  <si>
    <t>CWE_1233_example_7_vulnerable_parsed.json</t>
  </si>
  <si>
    <t>rsa_wrapper</t>
  </si>
  <si>
    <t>CWE_1233_example_8_vulnerable_parsed.json</t>
  </si>
  <si>
    <t>sha256_wrapper</t>
  </si>
  <si>
    <t>CWE_1233_example_9_vulnerable_parsed.json</t>
  </si>
  <si>
    <t>CWE_226_example_10_vulnerable_parsed.json</t>
  </si>
  <si>
    <t>CWE_226_example_1_vulnerable_parsed.json</t>
  </si>
  <si>
    <t>CWE_226_example_2_vulnerable_parsed.json</t>
  </si>
  <si>
    <t>CWE_226_example_3_vulnerable_parsed.json</t>
  </si>
  <si>
    <t>CWE_226_example_4_vulnerable_parsed.json</t>
  </si>
  <si>
    <t>CWE_226_example_5_vulnerable_parsed.json</t>
  </si>
  <si>
    <t>CWE_226_example_6_vulnerable_parsed.json</t>
  </si>
  <si>
    <t>CWE_226_example_7_vulnerable_parsed.json</t>
  </si>
  <si>
    <t>dma</t>
  </si>
  <si>
    <t>CWE_226_example_8_vulnerable_parsed.json</t>
  </si>
  <si>
    <t>CWE_226_example_9_vulnerable_parsed.json</t>
  </si>
  <si>
    <t>43 module definitions</t>
  </si>
  <si>
    <t>39 files</t>
  </si>
  <si>
    <t>Virtual environment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</si>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</sst>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CWE</a:t>
            </a:r>
            <a:r>
              <a:rPr lang="en-US" baseline="0"/>
              <a:t> Detection Results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Results!$Q$2</c:f>
              <c:strCache>
                <c:ptCount val="1"/>
                <c:pt idx="0">
                  <c:v>CWE-1245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Results!$R$1:$U$1</c:f>
              <c:strCache>
                <c:ptCount val="4"/>
                <c:pt idx="0">
                  <c:v>TP</c:v>
                </c:pt>
                <c:pt idx="1">
                  <c:v>FP</c:v>
                </c:pt>
                <c:pt idx="2">
                  <c:v>FN</c:v>
                </c:pt>
                <c:pt idx="3">
                  <c:v>TN</c:v>
                </c:pt>
              </c:strCache>
            </c:strRef>
          </c:cat>
          <c:val>
            <c:numRef>
              <c:f>Results!$R$2:$U$2</c:f>
              <c:numCache>
                <c:formatCode>General</c:formatCode>
                <c:ptCount val="4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8-4646-9B35-5EA2D8E471F5}"/>
            </c:ext>
          </c:extLst>
        </c:ser>
        <c:ser>
          <c:idx val="1"/>
          <c:order val="1"/>
          <c:tx>
            <c:strRef>
              <c:f>Results!$Q$3</c:f>
              <c:strCache>
                <c:ptCount val="1"/>
                <c:pt idx="0">
                  <c:v>CWE-1233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Results!$R$1:$U$1</c:f>
              <c:strCache>
                <c:ptCount val="4"/>
                <c:pt idx="0">
                  <c:v>TP</c:v>
                </c:pt>
                <c:pt idx="1">
                  <c:v>FP</c:v>
                </c:pt>
                <c:pt idx="2">
                  <c:v>FN</c:v>
                </c:pt>
                <c:pt idx="3">
                  <c:v>TN</c:v>
                </c:pt>
              </c:strCache>
            </c:strRef>
          </c:cat>
          <c:val>
            <c:numRef>
              <c:f>Results!$R$3:$U$3</c:f>
              <c:numCache>
                <c:formatCode>General</c:formatCode>
                <c:ptCount val="4"/>
                <c:pt idx="0">
                  <c:v>19</c:v>
                </c:pt>
                <c:pt idx="1">
                  <c:v>9</c:v>
                </c:pt>
                <c:pt idx="2">
                  <c:v>11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88-4646-9B35-5EA2D8E471F5}"/>
            </c:ext>
          </c:extLst>
        </c:ser>
        <c:ser>
          <c:idx val="2"/>
          <c:order val="2"/>
          <c:tx>
            <c:strRef>
              <c:f>Results!$Q$4</c:f>
              <c:strCache>
                <c:ptCount val="1"/>
                <c:pt idx="0">
                  <c:v>CWE-226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Results!$R$1:$U$1</c:f>
              <c:strCache>
                <c:ptCount val="4"/>
                <c:pt idx="0">
                  <c:v>TP</c:v>
                </c:pt>
                <c:pt idx="1">
                  <c:v>FP</c:v>
                </c:pt>
                <c:pt idx="2">
                  <c:v>FN</c:v>
                </c:pt>
                <c:pt idx="3">
                  <c:v>TN</c:v>
                </c:pt>
              </c:strCache>
            </c:strRef>
          </c:cat>
          <c:val>
            <c:numRef>
              <c:f>Results!$R$4:$U$4</c:f>
              <c:numCache>
                <c:formatCode>General</c:formatCode>
                <c:ptCount val="4"/>
                <c:pt idx="0">
                  <c:v>21</c:v>
                </c:pt>
                <c:pt idx="1">
                  <c:v>1</c:v>
                </c:pt>
                <c:pt idx="2">
                  <c:v>10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88-4646-9B35-5EA2D8E471F5}"/>
            </c:ext>
          </c:extLst>
        </c:ser>
        <c:ser>
          <c:idx val="3"/>
          <c:order val="3"/>
          <c:tx>
            <c:strRef>
              <c:f>Results!$Q$5</c:f>
              <c:strCache>
                <c:ptCount val="1"/>
                <c:pt idx="0">
                  <c:v>CWE-1431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Results!$R$1:$U$1</c:f>
              <c:strCache>
                <c:ptCount val="4"/>
                <c:pt idx="0">
                  <c:v>TP</c:v>
                </c:pt>
                <c:pt idx="1">
                  <c:v>FP</c:v>
                </c:pt>
                <c:pt idx="2">
                  <c:v>FN</c:v>
                </c:pt>
                <c:pt idx="3">
                  <c:v>TN</c:v>
                </c:pt>
              </c:strCache>
            </c:strRef>
          </c:cat>
          <c:val>
            <c:numRef>
              <c:f>Results!$R$5:$U$5</c:f>
              <c:numCache>
                <c:formatCode>General</c:formatCode>
                <c:ptCount val="4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88-4646-9B35-5EA2D8E47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5995344"/>
        <c:axId val="1105995824"/>
      </c:barChart>
      <c:catAx>
        <c:axId val="110599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995824"/>
        <c:crosses val="autoZero"/>
        <c:auto val="1"/>
        <c:lblAlgn val="ctr"/>
        <c:lblOffset val="100"/>
        <c:noMultiLvlLbl val="0"/>
      </c:catAx>
      <c:valAx>
        <c:axId val="110599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99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83819</xdr:colOff>
      <xdr:row>16</xdr:row>
      <xdr:rowOff>62865</xdr:rowOff>
    </xdr:from>
    <xdr:to>
      <xdr:col>20</xdr:col>
      <xdr:colOff>28574</xdr:colOff>
      <xdr:row>36</xdr:row>
      <xdr:rowOff>67627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86C69E-E1C0-C8B9-FD0B-05F66DD4F0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1D39-3792-4505-B210-8B0EC9803393}">
  <dimension ref="A1:AD15"/>
  <sheetViews>
    <sheetView topLeftCell="K1" workbookViewId="0">
      <selection activeCell="X9" sqref="X9"/>
    </sheetView>
  </sheetViews>
  <sheetFormatPr defaultRowHeight="14.4" x14ac:dyDescent="0.3"/>
  <cols>
    <col min="1" max="1" width="22.109375" style="3" customWidth="1"/>
    <col min="2" max="2" width="19.21875" style="3" customWidth="1"/>
    <col min="3" max="3" width="14" style="3" customWidth="1"/>
    <col min="4" max="4" width="8.88671875" style="3"/>
    <col min="5" max="5" width="34.5546875" style="3" customWidth="1"/>
    <col min="6" max="7" width="8.88671875" style="3"/>
    <col min="8" max="8" width="45.44140625" style="3" customWidth="1"/>
    <col min="9" max="10" width="8.88671875" style="3"/>
    <col min="11" max="11" width="41.5546875" style="3" customWidth="1"/>
    <col min="12" max="13" width="8.88671875" style="3"/>
    <col min="14" max="14" width="31.6640625" style="3" customWidth="1"/>
    <col min="15" max="16" width="8.88671875" style="3"/>
    <col min="17" max="17" width="11.109375" style="3" customWidth="1"/>
    <col min="18" max="22" width="8.88671875" style="3"/>
    <col min="23" max="23" width="9.5546875" style="3" bestFit="1" customWidth="1"/>
    <col min="24" max="24" width="21.33203125" style="3" bestFit="1" customWidth="1"/>
    <col min="25" max="25" width="23.88671875" style="3" bestFit="1" customWidth="1"/>
    <col min="26" max="28" width="9.5546875" style="3" customWidth="1"/>
    <col min="29" max="16384" width="8.88671875" style="3"/>
  </cols>
  <sheetData>
    <row r="1" spans="1:30" x14ac:dyDescent="0.3">
      <c r="A1" s="2"/>
      <c r="B1" s="2" t="s">
        <v>0</v>
      </c>
      <c r="C1" s="2" t="s">
        <v>1</v>
      </c>
      <c r="E1" s="8" t="s">
        <v>15</v>
      </c>
      <c r="F1" s="8"/>
      <c r="H1" s="8" t="s">
        <v>22</v>
      </c>
      <c r="I1" s="8"/>
      <c r="K1" s="8" t="s">
        <v>29</v>
      </c>
      <c r="L1" s="8"/>
      <c r="N1" s="8" t="s">
        <v>35</v>
      </c>
      <c r="O1" s="8"/>
      <c r="R1" s="3" t="s">
        <v>3</v>
      </c>
      <c r="S1" s="3" t="s">
        <v>4</v>
      </c>
      <c r="T1" s="3" t="s">
        <v>6</v>
      </c>
      <c r="U1" s="3" t="s">
        <v>7</v>
      </c>
      <c r="W1" s="5" t="s">
        <v>36</v>
      </c>
      <c r="X1" s="5" t="s">
        <v>38</v>
      </c>
      <c r="Y1" s="5" t="s">
        <v>37</v>
      </c>
      <c r="Z1" s="5" t="s">
        <v>3</v>
      </c>
      <c r="AA1" s="5" t="s">
        <v>4</v>
      </c>
      <c r="AB1" s="5" t="s">
        <v>6</v>
      </c>
      <c r="AC1" s="5" t="s">
        <v>14</v>
      </c>
      <c r="AD1" s="5" t="s">
        <v>13</v>
      </c>
    </row>
    <row r="2" spans="1:30" x14ac:dyDescent="0.3">
      <c r="A2" s="2" t="s">
        <v>2</v>
      </c>
      <c r="B2" s="2" t="s">
        <v>3</v>
      </c>
      <c r="C2" s="2" t="s">
        <v>4</v>
      </c>
      <c r="E2" s="2" t="s">
        <v>8</v>
      </c>
      <c r="F2" s="2">
        <v>11</v>
      </c>
      <c r="H2" s="2" t="s">
        <v>16</v>
      </c>
      <c r="I2" s="2">
        <v>70</v>
      </c>
      <c r="K2" s="1" t="s">
        <v>23</v>
      </c>
      <c r="L2" s="1">
        <v>82</v>
      </c>
      <c r="N2" s="1" t="s">
        <v>30</v>
      </c>
      <c r="O2" s="1">
        <v>14</v>
      </c>
      <c r="Q2" s="3" t="s">
        <v>15</v>
      </c>
      <c r="R2" s="3">
        <v>9</v>
      </c>
      <c r="S2" s="3">
        <v>0</v>
      </c>
      <c r="T2" s="3">
        <v>0</v>
      </c>
      <c r="U2" s="3">
        <v>2</v>
      </c>
      <c r="W2" s="3" t="s">
        <v>15</v>
      </c>
      <c r="X2" s="3">
        <v>9</v>
      </c>
      <c r="Y2" s="3">
        <v>9</v>
      </c>
      <c r="Z2" s="3">
        <v>9</v>
      </c>
      <c r="AA2" s="3">
        <v>0</v>
      </c>
      <c r="AB2" s="3">
        <v>0</v>
      </c>
      <c r="AC2" s="4">
        <f>Z2/(Z2+AA2)</f>
        <v>1</v>
      </c>
      <c r="AD2" s="4">
        <f>Z2/(Z2+AB2)</f>
        <v>1</v>
      </c>
    </row>
    <row r="3" spans="1:30" ht="15" customHeight="1" x14ac:dyDescent="0.3">
      <c r="A3" s="2" t="s">
        <v>5</v>
      </c>
      <c r="B3" s="2" t="s">
        <v>6</v>
      </c>
      <c r="C3" s="2" t="s">
        <v>7</v>
      </c>
      <c r="E3" s="2" t="s">
        <v>9</v>
      </c>
      <c r="F3" s="2">
        <v>9</v>
      </c>
      <c r="H3" s="2" t="s">
        <v>17</v>
      </c>
      <c r="I3" s="2">
        <v>30</v>
      </c>
      <c r="K3" s="2" t="s">
        <v>24</v>
      </c>
      <c r="L3" s="2">
        <v>32</v>
      </c>
      <c r="N3" s="2" t="s">
        <v>31</v>
      </c>
      <c r="O3" s="2">
        <v>10</v>
      </c>
      <c r="Q3" s="3" t="s">
        <v>22</v>
      </c>
      <c r="R3" s="3">
        <v>19</v>
      </c>
      <c r="S3" s="3">
        <v>9</v>
      </c>
      <c r="T3" s="3">
        <v>11</v>
      </c>
      <c r="U3" s="3">
        <v>36</v>
      </c>
      <c r="W3" s="3" t="s">
        <v>22</v>
      </c>
      <c r="X3" s="3">
        <v>30</v>
      </c>
      <c r="Y3" s="3">
        <v>28</v>
      </c>
      <c r="Z3" s="3">
        <v>19</v>
      </c>
      <c r="AA3" s="3">
        <v>9</v>
      </c>
      <c r="AB3" s="3">
        <v>11</v>
      </c>
      <c r="AC3" s="4">
        <f>Z3/(Z3+AA3)</f>
        <v>0.6785714285714286</v>
      </c>
      <c r="AD3" s="4">
        <f t="shared" ref="AD3:AD6" si="0">Z3/(Z3+AB3)</f>
        <v>0.6333333333333333</v>
      </c>
    </row>
    <row r="4" spans="1:30" ht="15" customHeight="1" x14ac:dyDescent="0.3">
      <c r="E4" s="2" t="s">
        <v>10</v>
      </c>
      <c r="F4" s="2">
        <v>2</v>
      </c>
      <c r="H4" s="2" t="s">
        <v>18</v>
      </c>
      <c r="I4" s="2">
        <v>40</v>
      </c>
      <c r="K4" s="2" t="s">
        <v>25</v>
      </c>
      <c r="L4" s="2">
        <v>50</v>
      </c>
      <c r="N4" s="2" t="s">
        <v>32</v>
      </c>
      <c r="O4" s="2">
        <v>4</v>
      </c>
      <c r="Q4" s="3" t="s">
        <v>29</v>
      </c>
      <c r="R4" s="3">
        <v>21</v>
      </c>
      <c r="S4" s="3">
        <v>1</v>
      </c>
      <c r="T4" s="3">
        <v>10</v>
      </c>
      <c r="U4" s="3">
        <v>37</v>
      </c>
      <c r="W4" s="3" t="s">
        <v>29</v>
      </c>
      <c r="X4" s="3">
        <v>32</v>
      </c>
      <c r="Y4" s="3">
        <v>22</v>
      </c>
      <c r="Z4" s="3">
        <v>21</v>
      </c>
      <c r="AA4" s="3">
        <v>1</v>
      </c>
      <c r="AB4" s="3">
        <v>10</v>
      </c>
      <c r="AC4" s="4">
        <f>Z4/(Z4+AA4)</f>
        <v>0.95454545454545459</v>
      </c>
      <c r="AD4" s="4">
        <f t="shared" si="0"/>
        <v>0.67741935483870963</v>
      </c>
    </row>
    <row r="5" spans="1:30" ht="15" customHeight="1" x14ac:dyDescent="0.3">
      <c r="E5" s="2"/>
      <c r="F5" s="2"/>
      <c r="H5" s="2"/>
      <c r="I5" s="2"/>
      <c r="K5" s="2"/>
      <c r="L5" s="2"/>
      <c r="N5" s="2"/>
      <c r="O5" s="2"/>
      <c r="Q5" s="3" t="s">
        <v>35</v>
      </c>
      <c r="R5" s="3">
        <v>10</v>
      </c>
      <c r="S5" s="3">
        <v>0</v>
      </c>
      <c r="T5" s="3">
        <v>0</v>
      </c>
      <c r="U5" s="3">
        <v>4</v>
      </c>
      <c r="W5" s="3" t="s">
        <v>35</v>
      </c>
      <c r="X5" s="3">
        <v>10</v>
      </c>
      <c r="Y5" s="3">
        <v>10</v>
      </c>
      <c r="Z5" s="3">
        <v>10</v>
      </c>
      <c r="AA5" s="3">
        <v>0</v>
      </c>
      <c r="AB5" s="3">
        <v>0</v>
      </c>
      <c r="AC5" s="4">
        <f>Z5/(Z5+AA5)</f>
        <v>1</v>
      </c>
      <c r="AD5" s="4">
        <f t="shared" si="0"/>
        <v>1</v>
      </c>
    </row>
    <row r="6" spans="1:30" x14ac:dyDescent="0.3">
      <c r="E6" s="2" t="s">
        <v>11</v>
      </c>
      <c r="F6" s="2">
        <v>9</v>
      </c>
      <c r="H6" s="2" t="s">
        <v>19</v>
      </c>
      <c r="I6" s="2">
        <v>64</v>
      </c>
      <c r="K6" s="2" t="s">
        <v>26</v>
      </c>
      <c r="L6" s="2">
        <v>62</v>
      </c>
      <c r="N6" s="2" t="s">
        <v>33</v>
      </c>
      <c r="O6" s="2">
        <v>10</v>
      </c>
      <c r="W6" s="5" t="s">
        <v>39</v>
      </c>
      <c r="X6" s="5">
        <f>SUM(X2:X5)</f>
        <v>81</v>
      </c>
      <c r="Y6" s="5">
        <f t="shared" ref="Y6:AB6" si="1">SUM(Y2:Y5)</f>
        <v>69</v>
      </c>
      <c r="Z6" s="5">
        <f t="shared" si="1"/>
        <v>59</v>
      </c>
      <c r="AA6" s="5">
        <f t="shared" si="1"/>
        <v>10</v>
      </c>
      <c r="AB6" s="5">
        <f t="shared" si="1"/>
        <v>21</v>
      </c>
      <c r="AC6" s="6">
        <f>Z6/(Z6+AA6)</f>
        <v>0.85507246376811596</v>
      </c>
      <c r="AD6" s="6">
        <f t="shared" si="0"/>
        <v>0.73750000000000004</v>
      </c>
    </row>
    <row r="7" spans="1:30" x14ac:dyDescent="0.3">
      <c r="E7" s="2" t="s">
        <v>12</v>
      </c>
      <c r="F7" s="2">
        <v>2</v>
      </c>
      <c r="H7" s="2" t="s">
        <v>20</v>
      </c>
      <c r="I7" s="2">
        <v>28</v>
      </c>
      <c r="K7" s="2" t="s">
        <v>27</v>
      </c>
      <c r="L7" s="2">
        <v>22</v>
      </c>
      <c r="N7" s="2" t="s">
        <v>34</v>
      </c>
      <c r="O7" s="2">
        <v>4</v>
      </c>
    </row>
    <row r="8" spans="1:30" x14ac:dyDescent="0.3">
      <c r="E8" s="2"/>
      <c r="F8" s="2"/>
      <c r="H8" s="2" t="s">
        <v>21</v>
      </c>
      <c r="I8" s="2">
        <v>45</v>
      </c>
      <c r="K8" s="2" t="s">
        <v>28</v>
      </c>
      <c r="L8" s="2">
        <v>40</v>
      </c>
      <c r="N8" s="2"/>
      <c r="O8" s="2"/>
    </row>
    <row r="9" spans="1:30" x14ac:dyDescent="0.3">
      <c r="E9" s="2" t="s">
        <v>3</v>
      </c>
      <c r="F9" s="2">
        <v>9</v>
      </c>
      <c r="H9" s="2"/>
      <c r="I9" s="2"/>
      <c r="K9" s="2"/>
      <c r="L9" s="2"/>
      <c r="N9" s="2" t="s">
        <v>3</v>
      </c>
      <c r="O9" s="2">
        <v>10</v>
      </c>
    </row>
    <row r="10" spans="1:30" x14ac:dyDescent="0.3">
      <c r="E10" s="2" t="s">
        <v>4</v>
      </c>
      <c r="F10" s="2">
        <v>0</v>
      </c>
      <c r="H10" s="2" t="s">
        <v>3</v>
      </c>
      <c r="I10" s="2">
        <v>19</v>
      </c>
      <c r="K10" s="2" t="s">
        <v>3</v>
      </c>
      <c r="L10" s="2">
        <v>21</v>
      </c>
      <c r="N10" s="2" t="s">
        <v>4</v>
      </c>
      <c r="O10" s="2">
        <v>0</v>
      </c>
    </row>
    <row r="11" spans="1:30" x14ac:dyDescent="0.3">
      <c r="E11" s="2" t="s">
        <v>6</v>
      </c>
      <c r="F11" s="2">
        <v>0</v>
      </c>
      <c r="H11" s="2" t="s">
        <v>4</v>
      </c>
      <c r="I11" s="2">
        <v>9</v>
      </c>
      <c r="K11" s="2" t="s">
        <v>4</v>
      </c>
      <c r="L11" s="2">
        <v>1</v>
      </c>
      <c r="N11" s="2" t="s">
        <v>6</v>
      </c>
      <c r="O11" s="2">
        <v>0</v>
      </c>
    </row>
    <row r="12" spans="1:30" x14ac:dyDescent="0.3">
      <c r="E12" s="2" t="s">
        <v>7</v>
      </c>
      <c r="F12" s="2">
        <v>2</v>
      </c>
      <c r="H12" s="2" t="s">
        <v>6</v>
      </c>
      <c r="I12" s="2">
        <v>11</v>
      </c>
      <c r="K12" s="2" t="s">
        <v>6</v>
      </c>
      <c r="L12" s="2">
        <v>10</v>
      </c>
      <c r="N12" s="2" t="s">
        <v>7</v>
      </c>
      <c r="O12" s="2">
        <v>4</v>
      </c>
    </row>
    <row r="13" spans="1:30" x14ac:dyDescent="0.3">
      <c r="E13" s="2" t="s">
        <v>13</v>
      </c>
      <c r="F13" s="2">
        <v>1</v>
      </c>
      <c r="H13" s="2" t="s">
        <v>7</v>
      </c>
      <c r="I13" s="2">
        <v>36</v>
      </c>
      <c r="K13" s="2" t="s">
        <v>7</v>
      </c>
      <c r="L13" s="2">
        <v>37</v>
      </c>
      <c r="N13" s="2" t="s">
        <v>13</v>
      </c>
      <c r="O13" s="2">
        <v>1</v>
      </c>
    </row>
    <row r="14" spans="1:30" x14ac:dyDescent="0.3">
      <c r="E14" s="2" t="s">
        <v>14</v>
      </c>
      <c r="F14" s="2">
        <v>1</v>
      </c>
      <c r="H14" s="2" t="s">
        <v>13</v>
      </c>
      <c r="I14" s="2">
        <v>0.63333300000000003</v>
      </c>
      <c r="K14" s="2" t="s">
        <v>13</v>
      </c>
      <c r="L14" s="2">
        <v>0.875</v>
      </c>
      <c r="N14" s="2" t="s">
        <v>14</v>
      </c>
      <c r="O14" s="2">
        <v>1</v>
      </c>
    </row>
    <row r="15" spans="1:30" x14ac:dyDescent="0.3">
      <c r="H15" s="2" t="s">
        <v>14</v>
      </c>
      <c r="I15" s="2">
        <v>0.67857100000000004</v>
      </c>
      <c r="K15" s="2" t="s">
        <v>14</v>
      </c>
      <c r="L15" s="2">
        <v>0.95499999999999996</v>
      </c>
    </row>
  </sheetData>
  <mergeCells count="4">
    <mergeCell ref="E1:F1"/>
    <mergeCell ref="H1:I1"/>
    <mergeCell ref="K1:L1"/>
    <mergeCell ref="N1:O1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9BD4-9E3C-497E-B81B-6D311FF05ABD}">
  <dimension ref="A1:K56"/>
  <sheetViews>
    <sheetView tabSelected="1" topLeftCell="A31" workbookViewId="0">
      <selection activeCell="K46" sqref="K46"/>
    </sheetView>
  </sheetViews>
  <sheetFormatPr defaultRowHeight="14.4" x14ac:dyDescent="0.3"/>
  <cols>
    <col min="1" max="1" width="43.44140625" bestFit="1" customWidth="1"/>
    <col min="2" max="2" width="24" bestFit="1" customWidth="1"/>
    <col min="3" max="3" width="5" bestFit="1" customWidth="1"/>
    <col min="4" max="4" width="14.33203125" bestFit="1" customWidth="1"/>
    <col min="7" max="7" width="43.44140625" bestFit="1" customWidth="1"/>
    <col min="8" max="8" width="24" bestFit="1" customWidth="1"/>
    <col min="9" max="9" width="5" bestFit="1" customWidth="1"/>
    <col min="10" max="10" width="14.33203125" bestFit="1" customWidth="1"/>
  </cols>
  <sheetData>
    <row r="1" spans="1:10" x14ac:dyDescent="0.3">
      <c r="A1" s="7" t="s">
        <v>40</v>
      </c>
      <c r="B1" s="7" t="s">
        <v>41</v>
      </c>
      <c r="C1" s="7" t="s">
        <v>42</v>
      </c>
      <c r="D1" s="7" t="s">
        <v>43</v>
      </c>
      <c r="G1" s="7" t="s">
        <v>40</v>
      </c>
      <c r="H1" s="7" t="s">
        <v>41</v>
      </c>
      <c r="I1" s="7" t="s">
        <v>42</v>
      </c>
      <c r="J1" s="7" t="s">
        <v>43</v>
      </c>
    </row>
    <row r="2" spans="1:10" x14ac:dyDescent="0.3">
      <c r="A2" t="s">
        <v>44</v>
      </c>
      <c r="B2" t="s">
        <v>45</v>
      </c>
      <c r="C2">
        <v>89</v>
      </c>
      <c r="D2">
        <v>3.3086200011894107E-2</v>
      </c>
      <c r="G2" t="s">
        <v>44</v>
      </c>
      <c r="H2" t="s">
        <v>45</v>
      </c>
      <c r="I2">
        <v>89</v>
      </c>
      <c r="J2">
        <v>2.7183728003365101E-2</v>
      </c>
    </row>
    <row r="3" spans="1:10" x14ac:dyDescent="0.3">
      <c r="A3" t="s">
        <v>44</v>
      </c>
      <c r="B3" t="s">
        <v>46</v>
      </c>
      <c r="C3">
        <v>36</v>
      </c>
      <c r="D3">
        <v>3.5152700031176209E-2</v>
      </c>
      <c r="G3" t="s">
        <v>44</v>
      </c>
      <c r="H3" t="s">
        <v>46</v>
      </c>
      <c r="I3">
        <v>36</v>
      </c>
      <c r="J3">
        <v>3.1559173003188327E-2</v>
      </c>
    </row>
    <row r="4" spans="1:10" x14ac:dyDescent="0.3">
      <c r="A4" t="s">
        <v>44</v>
      </c>
      <c r="B4" t="s">
        <v>47</v>
      </c>
      <c r="C4">
        <v>25</v>
      </c>
      <c r="D4">
        <v>3.6360200028866529E-2</v>
      </c>
      <c r="G4" t="s">
        <v>44</v>
      </c>
      <c r="H4" t="s">
        <v>47</v>
      </c>
      <c r="I4">
        <v>25</v>
      </c>
      <c r="J4">
        <v>3.2351131003451883E-2</v>
      </c>
    </row>
    <row r="5" spans="1:10" x14ac:dyDescent="0.3">
      <c r="A5" t="s">
        <v>44</v>
      </c>
      <c r="B5" t="s">
        <v>48</v>
      </c>
      <c r="C5">
        <v>34</v>
      </c>
      <c r="D5">
        <v>3.835569997318089E-2</v>
      </c>
      <c r="G5" t="s">
        <v>44</v>
      </c>
      <c r="H5" t="s">
        <v>48</v>
      </c>
      <c r="I5">
        <v>34</v>
      </c>
      <c r="J5">
        <v>3.304725200359826E-2</v>
      </c>
    </row>
    <row r="6" spans="1:10" x14ac:dyDescent="0.3">
      <c r="A6" t="s">
        <v>44</v>
      </c>
      <c r="B6" t="s">
        <v>49</v>
      </c>
      <c r="C6">
        <v>32</v>
      </c>
      <c r="D6">
        <v>3.9800500031560659E-2</v>
      </c>
      <c r="G6" t="s">
        <v>44</v>
      </c>
      <c r="H6" t="s">
        <v>49</v>
      </c>
      <c r="I6">
        <v>32</v>
      </c>
      <c r="J6">
        <v>3.372295800363645E-2</v>
      </c>
    </row>
    <row r="7" spans="1:10" x14ac:dyDescent="0.3">
      <c r="A7" t="s">
        <v>50</v>
      </c>
      <c r="B7" t="s">
        <v>51</v>
      </c>
      <c r="C7">
        <v>54</v>
      </c>
      <c r="D7">
        <v>1.087530003860593E-2</v>
      </c>
      <c r="G7" t="s">
        <v>50</v>
      </c>
      <c r="H7" t="s">
        <v>51</v>
      </c>
      <c r="I7">
        <v>54</v>
      </c>
      <c r="J7">
        <v>1.2016793998554929E-2</v>
      </c>
    </row>
    <row r="8" spans="1:10" x14ac:dyDescent="0.3">
      <c r="A8" t="s">
        <v>52</v>
      </c>
      <c r="B8" t="s">
        <v>53</v>
      </c>
      <c r="C8">
        <v>38</v>
      </c>
      <c r="D8">
        <v>1.308230007998645E-2</v>
      </c>
      <c r="G8" t="s">
        <v>52</v>
      </c>
      <c r="H8" t="s">
        <v>53</v>
      </c>
      <c r="I8">
        <v>38</v>
      </c>
      <c r="J8">
        <v>4.5514100002037594E-3</v>
      </c>
    </row>
    <row r="9" spans="1:10" x14ac:dyDescent="0.3">
      <c r="A9" t="s">
        <v>54</v>
      </c>
      <c r="B9" t="s">
        <v>55</v>
      </c>
      <c r="C9">
        <v>296</v>
      </c>
      <c r="D9">
        <v>1.559339999221265E-2</v>
      </c>
      <c r="G9" t="s">
        <v>54</v>
      </c>
      <c r="H9" t="s">
        <v>55</v>
      </c>
      <c r="I9">
        <v>296</v>
      </c>
      <c r="J9">
        <v>1.3841822001268159E-2</v>
      </c>
    </row>
    <row r="10" spans="1:10" x14ac:dyDescent="0.3">
      <c r="A10" t="s">
        <v>56</v>
      </c>
      <c r="B10" t="s">
        <v>57</v>
      </c>
      <c r="C10">
        <v>516</v>
      </c>
      <c r="D10">
        <v>2.2819700068794191E-2</v>
      </c>
      <c r="G10" t="s">
        <v>56</v>
      </c>
      <c r="H10" t="s">
        <v>57</v>
      </c>
      <c r="I10">
        <v>516</v>
      </c>
      <c r="J10">
        <v>1.5840338000998599E-2</v>
      </c>
    </row>
    <row r="11" spans="1:10" x14ac:dyDescent="0.3">
      <c r="A11" t="s">
        <v>58</v>
      </c>
      <c r="B11" t="s">
        <v>59</v>
      </c>
      <c r="C11">
        <v>175</v>
      </c>
      <c r="D11">
        <v>3.1383899971842773E-2</v>
      </c>
      <c r="G11" t="s">
        <v>58</v>
      </c>
      <c r="H11" t="s">
        <v>59</v>
      </c>
      <c r="I11">
        <v>175</v>
      </c>
      <c r="J11">
        <v>1.2964022000232941E-2</v>
      </c>
    </row>
    <row r="12" spans="1:10" x14ac:dyDescent="0.3">
      <c r="A12" t="s">
        <v>60</v>
      </c>
      <c r="B12" t="s">
        <v>61</v>
      </c>
      <c r="C12">
        <v>82</v>
      </c>
      <c r="D12">
        <v>2.946630003862083E-2</v>
      </c>
      <c r="G12" t="s">
        <v>60</v>
      </c>
      <c r="H12" t="s">
        <v>61</v>
      </c>
      <c r="I12">
        <v>82</v>
      </c>
      <c r="J12">
        <v>7.6527919973159442E-3</v>
      </c>
    </row>
    <row r="13" spans="1:10" x14ac:dyDescent="0.3">
      <c r="A13" t="s">
        <v>62</v>
      </c>
      <c r="B13" t="s">
        <v>63</v>
      </c>
      <c r="C13">
        <v>666</v>
      </c>
      <c r="D13">
        <v>5.5681300000287592E-2</v>
      </c>
      <c r="G13" t="s">
        <v>62</v>
      </c>
      <c r="H13" t="s">
        <v>63</v>
      </c>
      <c r="I13">
        <v>666</v>
      </c>
      <c r="J13">
        <v>5.6780562001222279E-2</v>
      </c>
    </row>
    <row r="14" spans="1:10" x14ac:dyDescent="0.3">
      <c r="A14" t="s">
        <v>64</v>
      </c>
      <c r="B14" t="s">
        <v>65</v>
      </c>
      <c r="C14">
        <v>386</v>
      </c>
      <c r="D14">
        <v>2.7061200002208349E-2</v>
      </c>
      <c r="G14" t="s">
        <v>64</v>
      </c>
      <c r="H14" t="s">
        <v>65</v>
      </c>
      <c r="I14">
        <v>386</v>
      </c>
      <c r="J14">
        <v>2.4933297001553001E-2</v>
      </c>
    </row>
    <row r="15" spans="1:10" x14ac:dyDescent="0.3">
      <c r="A15" t="s">
        <v>66</v>
      </c>
      <c r="B15" t="s">
        <v>67</v>
      </c>
      <c r="C15">
        <v>69</v>
      </c>
      <c r="D15">
        <v>3.4548399853520102E-2</v>
      </c>
      <c r="G15" t="s">
        <v>66</v>
      </c>
      <c r="H15" t="s">
        <v>67</v>
      </c>
      <c r="I15">
        <v>69</v>
      </c>
      <c r="J15">
        <v>3.8032327000109938E-2</v>
      </c>
    </row>
    <row r="16" spans="1:10" x14ac:dyDescent="0.3">
      <c r="A16" t="s">
        <v>68</v>
      </c>
      <c r="B16" t="s">
        <v>57</v>
      </c>
      <c r="C16">
        <v>516</v>
      </c>
      <c r="D16">
        <v>3.0011500115506351E-2</v>
      </c>
      <c r="G16" t="s">
        <v>68</v>
      </c>
      <c r="H16" t="s">
        <v>57</v>
      </c>
      <c r="I16">
        <v>516</v>
      </c>
      <c r="J16">
        <v>5.5054272997949738E-2</v>
      </c>
    </row>
    <row r="17" spans="1:10" x14ac:dyDescent="0.3">
      <c r="A17" t="s">
        <v>69</v>
      </c>
      <c r="B17" t="s">
        <v>70</v>
      </c>
      <c r="C17">
        <v>22</v>
      </c>
      <c r="D17">
        <v>1.0835000197403129E-2</v>
      </c>
      <c r="G17" t="s">
        <v>69</v>
      </c>
      <c r="H17" t="s">
        <v>70</v>
      </c>
      <c r="I17">
        <v>22</v>
      </c>
      <c r="J17">
        <v>4.5444086001225507E-2</v>
      </c>
    </row>
    <row r="18" spans="1:10" x14ac:dyDescent="0.3">
      <c r="A18" t="s">
        <v>71</v>
      </c>
      <c r="B18" t="s">
        <v>72</v>
      </c>
      <c r="C18">
        <v>56</v>
      </c>
      <c r="D18">
        <v>1.031939999666065E-2</v>
      </c>
      <c r="G18" t="s">
        <v>71</v>
      </c>
      <c r="H18" t="s">
        <v>72</v>
      </c>
      <c r="I18">
        <v>56</v>
      </c>
      <c r="J18">
        <v>1.8910286999016531E-2</v>
      </c>
    </row>
    <row r="19" spans="1:10" x14ac:dyDescent="0.3">
      <c r="A19" t="s">
        <v>73</v>
      </c>
      <c r="B19" t="s">
        <v>74</v>
      </c>
      <c r="C19">
        <v>208</v>
      </c>
      <c r="D19">
        <v>1.23896001605317E-2</v>
      </c>
      <c r="G19" t="s">
        <v>73</v>
      </c>
      <c r="H19" t="s">
        <v>74</v>
      </c>
      <c r="I19">
        <v>208</v>
      </c>
      <c r="J19">
        <v>2.6810494997334899E-2</v>
      </c>
    </row>
    <row r="20" spans="1:10" x14ac:dyDescent="0.3">
      <c r="A20" t="s">
        <v>75</v>
      </c>
      <c r="B20" t="s">
        <v>76</v>
      </c>
      <c r="C20">
        <v>69</v>
      </c>
      <c r="D20">
        <v>1.042360009159893E-2</v>
      </c>
      <c r="G20" t="s">
        <v>75</v>
      </c>
      <c r="H20" t="s">
        <v>76</v>
      </c>
      <c r="I20">
        <v>69</v>
      </c>
      <c r="J20">
        <v>2.9185404000600101E-2</v>
      </c>
    </row>
    <row r="21" spans="1:10" x14ac:dyDescent="0.3">
      <c r="A21" t="s">
        <v>77</v>
      </c>
      <c r="B21" t="s">
        <v>76</v>
      </c>
      <c r="C21">
        <v>72</v>
      </c>
      <c r="D21">
        <v>1.034250005614012E-2</v>
      </c>
      <c r="G21" t="s">
        <v>77</v>
      </c>
      <c r="H21" t="s">
        <v>76</v>
      </c>
      <c r="I21">
        <v>72</v>
      </c>
      <c r="J21">
        <v>1.9840188997477529E-2</v>
      </c>
    </row>
    <row r="22" spans="1:10" x14ac:dyDescent="0.3">
      <c r="A22" t="s">
        <v>78</v>
      </c>
      <c r="B22" t="s">
        <v>76</v>
      </c>
      <c r="C22">
        <v>68</v>
      </c>
      <c r="D22">
        <v>9.871200192719698E-3</v>
      </c>
      <c r="G22" t="s">
        <v>78</v>
      </c>
      <c r="H22" t="s">
        <v>76</v>
      </c>
      <c r="I22">
        <v>68</v>
      </c>
      <c r="J22">
        <v>2.581049399850599E-2</v>
      </c>
    </row>
    <row r="23" spans="1:10" x14ac:dyDescent="0.3">
      <c r="A23" t="s">
        <v>79</v>
      </c>
      <c r="B23" t="s">
        <v>80</v>
      </c>
      <c r="C23">
        <v>122</v>
      </c>
      <c r="D23">
        <v>1.413060002960265E-2</v>
      </c>
      <c r="G23" t="s">
        <v>79</v>
      </c>
      <c r="H23" t="s">
        <v>80</v>
      </c>
      <c r="I23">
        <v>122</v>
      </c>
      <c r="J23">
        <v>5.0745020998874679E-2</v>
      </c>
    </row>
    <row r="24" spans="1:10" x14ac:dyDescent="0.3">
      <c r="A24" t="s">
        <v>81</v>
      </c>
      <c r="B24" t="s">
        <v>82</v>
      </c>
      <c r="C24">
        <v>211</v>
      </c>
      <c r="D24">
        <v>2.3263200069777671E-2</v>
      </c>
      <c r="G24" t="s">
        <v>81</v>
      </c>
      <c r="H24" t="s">
        <v>82</v>
      </c>
      <c r="I24">
        <v>211</v>
      </c>
      <c r="J24">
        <v>6.1845305001043023E-2</v>
      </c>
    </row>
    <row r="25" spans="1:10" x14ac:dyDescent="0.3">
      <c r="A25" t="s">
        <v>83</v>
      </c>
      <c r="B25" t="s">
        <v>84</v>
      </c>
      <c r="C25">
        <v>201</v>
      </c>
      <c r="D25">
        <v>2.5111000169999901E-2</v>
      </c>
      <c r="G25" t="s">
        <v>101</v>
      </c>
      <c r="H25" t="s">
        <v>95</v>
      </c>
      <c r="I25">
        <v>246</v>
      </c>
      <c r="J25">
        <v>8.0109838001590106E-2</v>
      </c>
    </row>
    <row r="26" spans="1:10" x14ac:dyDescent="0.3">
      <c r="A26" t="s">
        <v>85</v>
      </c>
      <c r="B26" t="s">
        <v>86</v>
      </c>
      <c r="C26">
        <v>199</v>
      </c>
      <c r="D26">
        <v>1.410100015345961E-2</v>
      </c>
      <c r="G26" t="s">
        <v>102</v>
      </c>
      <c r="H26" t="s">
        <v>82</v>
      </c>
      <c r="I26">
        <v>211</v>
      </c>
      <c r="J26">
        <v>8.1913462001466542E-2</v>
      </c>
    </row>
    <row r="27" spans="1:10" x14ac:dyDescent="0.3">
      <c r="A27" t="s">
        <v>87</v>
      </c>
      <c r="B27" t="s">
        <v>88</v>
      </c>
      <c r="C27">
        <v>329</v>
      </c>
      <c r="D27">
        <v>2.797359996475279E-2</v>
      </c>
      <c r="G27" t="s">
        <v>103</v>
      </c>
      <c r="H27" t="s">
        <v>99</v>
      </c>
      <c r="I27">
        <v>240</v>
      </c>
      <c r="J27">
        <v>4.8035525000159403E-2</v>
      </c>
    </row>
    <row r="28" spans="1:10" x14ac:dyDescent="0.3">
      <c r="A28" t="s">
        <v>89</v>
      </c>
      <c r="B28" t="s">
        <v>90</v>
      </c>
      <c r="C28">
        <v>283</v>
      </c>
      <c r="D28">
        <v>2.9465800151228901E-2</v>
      </c>
      <c r="G28" t="s">
        <v>104</v>
      </c>
      <c r="H28" t="s">
        <v>97</v>
      </c>
      <c r="I28">
        <v>508</v>
      </c>
      <c r="J28">
        <v>0.22213279799871091</v>
      </c>
    </row>
    <row r="29" spans="1:10" x14ac:dyDescent="0.3">
      <c r="A29" t="s">
        <v>91</v>
      </c>
      <c r="B29" t="s">
        <v>80</v>
      </c>
      <c r="C29">
        <v>121</v>
      </c>
      <c r="D29">
        <v>1.294190005864948E-2</v>
      </c>
      <c r="G29" t="s">
        <v>105</v>
      </c>
      <c r="H29" t="s">
        <v>88</v>
      </c>
      <c r="I29">
        <v>329</v>
      </c>
      <c r="J29">
        <v>5.3702825000073062E-2</v>
      </c>
    </row>
    <row r="30" spans="1:10" x14ac:dyDescent="0.3">
      <c r="A30" t="s">
        <v>92</v>
      </c>
      <c r="B30" t="s">
        <v>93</v>
      </c>
      <c r="C30">
        <v>144</v>
      </c>
      <c r="D30">
        <v>1.7578799976035949E-2</v>
      </c>
      <c r="G30" t="s">
        <v>106</v>
      </c>
      <c r="H30" t="s">
        <v>93</v>
      </c>
      <c r="I30">
        <v>144</v>
      </c>
      <c r="J30">
        <v>2.6003736002166988E-2</v>
      </c>
    </row>
    <row r="31" spans="1:10" x14ac:dyDescent="0.3">
      <c r="A31" t="s">
        <v>94</v>
      </c>
      <c r="B31" t="s">
        <v>95</v>
      </c>
      <c r="C31">
        <v>245</v>
      </c>
      <c r="D31">
        <v>2.339260000735521E-2</v>
      </c>
      <c r="G31" t="s">
        <v>107</v>
      </c>
      <c r="H31" t="s">
        <v>80</v>
      </c>
      <c r="I31">
        <v>122</v>
      </c>
      <c r="J31">
        <v>1.9410013999731749E-2</v>
      </c>
    </row>
    <row r="32" spans="1:10" x14ac:dyDescent="0.3">
      <c r="A32" t="s">
        <v>96</v>
      </c>
      <c r="B32" t="s">
        <v>97</v>
      </c>
      <c r="C32">
        <v>509</v>
      </c>
      <c r="D32">
        <v>3.277470008470118E-2</v>
      </c>
      <c r="G32" t="s">
        <v>108</v>
      </c>
      <c r="H32" t="s">
        <v>109</v>
      </c>
      <c r="I32">
        <v>356</v>
      </c>
      <c r="J32">
        <v>3.8691205998475198E-2</v>
      </c>
    </row>
    <row r="33" spans="1:11" x14ac:dyDescent="0.3">
      <c r="A33" t="s">
        <v>98</v>
      </c>
      <c r="B33" t="s">
        <v>99</v>
      </c>
      <c r="C33">
        <v>240</v>
      </c>
      <c r="D33">
        <v>3.8550799945369363E-2</v>
      </c>
      <c r="G33" t="s">
        <v>110</v>
      </c>
      <c r="H33" t="s">
        <v>84</v>
      </c>
      <c r="I33">
        <v>202</v>
      </c>
      <c r="J33">
        <v>4.7998190000726033E-2</v>
      </c>
    </row>
    <row r="34" spans="1:11" x14ac:dyDescent="0.3">
      <c r="A34" t="s">
        <v>100</v>
      </c>
      <c r="B34" t="s">
        <v>82</v>
      </c>
      <c r="C34">
        <v>210</v>
      </c>
      <c r="D34">
        <v>4.8914599930867553E-2</v>
      </c>
      <c r="G34" t="s">
        <v>111</v>
      </c>
      <c r="H34" t="s">
        <v>90</v>
      </c>
      <c r="I34">
        <v>283</v>
      </c>
      <c r="J34">
        <v>6.7483067998182378E-2</v>
      </c>
    </row>
    <row r="35" spans="1:11" x14ac:dyDescent="0.3">
      <c r="A35" t="s">
        <v>101</v>
      </c>
      <c r="B35" t="s">
        <v>95</v>
      </c>
      <c r="C35">
        <v>246</v>
      </c>
      <c r="D35">
        <v>3.1318199937231839E-2</v>
      </c>
      <c r="G35" t="s">
        <v>83</v>
      </c>
      <c r="H35" t="s">
        <v>84</v>
      </c>
      <c r="I35">
        <v>201</v>
      </c>
      <c r="J35">
        <v>6.3593547001801198E-2</v>
      </c>
    </row>
    <row r="36" spans="1:11" x14ac:dyDescent="0.3">
      <c r="A36" t="s">
        <v>102</v>
      </c>
      <c r="B36" t="s">
        <v>82</v>
      </c>
      <c r="C36">
        <v>211</v>
      </c>
      <c r="D36">
        <v>2.281799993943423E-2</v>
      </c>
      <c r="G36" t="s">
        <v>85</v>
      </c>
      <c r="H36" t="s">
        <v>86</v>
      </c>
      <c r="I36">
        <v>199</v>
      </c>
      <c r="J36">
        <v>4.576176599948667E-2</v>
      </c>
    </row>
    <row r="37" spans="1:11" x14ac:dyDescent="0.3">
      <c r="A37" t="s">
        <v>103</v>
      </c>
      <c r="B37" t="s">
        <v>99</v>
      </c>
      <c r="C37">
        <v>240</v>
      </c>
      <c r="D37">
        <v>2.1813799976371229E-2</v>
      </c>
      <c r="G37" t="s">
        <v>87</v>
      </c>
      <c r="H37" t="s">
        <v>88</v>
      </c>
      <c r="I37">
        <v>329</v>
      </c>
      <c r="J37">
        <v>7.9187336003087694E-2</v>
      </c>
    </row>
    <row r="38" spans="1:11" x14ac:dyDescent="0.3">
      <c r="A38" t="s">
        <v>104</v>
      </c>
      <c r="B38" t="s">
        <v>97</v>
      </c>
      <c r="C38">
        <v>508</v>
      </c>
      <c r="D38">
        <v>3.1559699913486838E-2</v>
      </c>
      <c r="G38" t="s">
        <v>89</v>
      </c>
      <c r="H38" t="s">
        <v>90</v>
      </c>
      <c r="I38">
        <v>283</v>
      </c>
      <c r="J38">
        <v>5.1233407999461633E-2</v>
      </c>
    </row>
    <row r="39" spans="1:11" x14ac:dyDescent="0.3">
      <c r="A39" t="s">
        <v>105</v>
      </c>
      <c r="B39" t="s">
        <v>88</v>
      </c>
      <c r="C39">
        <v>329</v>
      </c>
      <c r="D39">
        <v>2.921639988198876E-2</v>
      </c>
      <c r="G39" t="s">
        <v>91</v>
      </c>
      <c r="H39" t="s">
        <v>80</v>
      </c>
      <c r="I39">
        <v>121</v>
      </c>
      <c r="J39">
        <v>2.24486839997553E-2</v>
      </c>
    </row>
    <row r="40" spans="1:11" x14ac:dyDescent="0.3">
      <c r="A40" t="s">
        <v>106</v>
      </c>
      <c r="B40" t="s">
        <v>93</v>
      </c>
      <c r="C40">
        <v>144</v>
      </c>
      <c r="D40">
        <v>1.728750008624047E-2</v>
      </c>
      <c r="G40" t="s">
        <v>92</v>
      </c>
      <c r="H40" t="s">
        <v>93</v>
      </c>
      <c r="I40">
        <v>144</v>
      </c>
      <c r="J40">
        <v>3.6370119996718131E-2</v>
      </c>
    </row>
    <row r="41" spans="1:11" x14ac:dyDescent="0.3">
      <c r="A41" t="s">
        <v>107</v>
      </c>
      <c r="B41" t="s">
        <v>80</v>
      </c>
      <c r="C41">
        <v>122</v>
      </c>
      <c r="D41">
        <v>1.2677699909545479E-2</v>
      </c>
      <c r="G41" t="s">
        <v>94</v>
      </c>
      <c r="H41" t="s">
        <v>95</v>
      </c>
      <c r="I41">
        <v>245</v>
      </c>
      <c r="J41">
        <v>6.0910001999218373E-2</v>
      </c>
    </row>
    <row r="42" spans="1:11" x14ac:dyDescent="0.3">
      <c r="A42" t="s">
        <v>108</v>
      </c>
      <c r="B42" t="s">
        <v>109</v>
      </c>
      <c r="C42">
        <v>356</v>
      </c>
      <c r="D42">
        <v>1.8872299930080771E-2</v>
      </c>
      <c r="G42" t="s">
        <v>96</v>
      </c>
      <c r="H42" t="s">
        <v>97</v>
      </c>
      <c r="I42">
        <v>509</v>
      </c>
      <c r="J42">
        <v>9.6667496000009123E-2</v>
      </c>
    </row>
    <row r="43" spans="1:11" x14ac:dyDescent="0.3">
      <c r="A43" t="s">
        <v>110</v>
      </c>
      <c r="B43" t="s">
        <v>84</v>
      </c>
      <c r="C43">
        <v>202</v>
      </c>
      <c r="D43">
        <v>4.5286500127986067E-2</v>
      </c>
      <c r="G43" t="s">
        <v>98</v>
      </c>
      <c r="H43" t="s">
        <v>99</v>
      </c>
      <c r="I43">
        <v>240</v>
      </c>
      <c r="J43">
        <v>9.1213741001411108E-2</v>
      </c>
    </row>
    <row r="44" spans="1:11" x14ac:dyDescent="0.3">
      <c r="A44" t="s">
        <v>111</v>
      </c>
      <c r="B44" t="s">
        <v>90</v>
      </c>
      <c r="C44">
        <v>283</v>
      </c>
      <c r="D44">
        <v>5.3724299883469939E-2</v>
      </c>
      <c r="G44" t="s">
        <v>100</v>
      </c>
      <c r="H44" t="s">
        <v>82</v>
      </c>
      <c r="I44">
        <v>210</v>
      </c>
      <c r="J44">
        <v>4.7931970000718138E-2</v>
      </c>
    </row>
    <row r="45" spans="1:11" x14ac:dyDescent="0.3">
      <c r="A45" t="s">
        <v>113</v>
      </c>
      <c r="B45" t="s">
        <v>112</v>
      </c>
      <c r="C45">
        <f>SUM(C2:C44)</f>
        <v>8964</v>
      </c>
      <c r="D45">
        <f>SUM(D2:D44)</f>
        <v>1.1102329010609537</v>
      </c>
      <c r="G45" t="s">
        <v>113</v>
      </c>
      <c r="H45" t="s">
        <v>112</v>
      </c>
      <c r="I45">
        <f>SUM(I2:I44)</f>
        <v>8964</v>
      </c>
      <c r="J45">
        <f>SUM(J2:J44)</f>
        <v>1.9589218920136773</v>
      </c>
    </row>
    <row r="46" spans="1:11" x14ac:dyDescent="0.3">
      <c r="D46">
        <f>D45/39</f>
        <v>2.84675102836142E-2</v>
      </c>
      <c r="J46">
        <f>J45/39</f>
        <v>5.022876646188916E-2</v>
      </c>
      <c r="K46">
        <f>J46 * 1000</f>
        <v>50.228766461889158</v>
      </c>
    </row>
    <row r="56" spans="1:7" x14ac:dyDescent="0.3">
      <c r="A56" t="s">
        <v>115</v>
      </c>
      <c r="G5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Detection Statistics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parks</dc:creator>
  <cp:lastModifiedBy>John</cp:lastModifiedBy>
  <dcterms:created xsi:type="dcterms:W3CDTF">2015-06-05T18:17:20Z</dcterms:created>
  <dcterms:modified xsi:type="dcterms:W3CDTF">2025-12-19T10:58:09Z</dcterms:modified>
</cp:coreProperties>
</file>