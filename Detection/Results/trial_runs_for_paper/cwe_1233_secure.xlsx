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3073F3DA-95D6-48B6-88DB-5DB2E1FACC02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P12" i="2"/>
  <c r="O12" i="2"/>
  <c r="O15" i="2" l="1"/>
  <c r="O14" i="2"/>
</calcChain>
</file>

<file path=xl/sharedStrings.xml><?xml version="1.0" encoding="utf-8"?>
<sst xmlns="http://schemas.openxmlformats.org/spreadsheetml/2006/main" count="1014" uniqueCount="295">
  <si>
    <t>File Name</t>
  </si>
  <si>
    <t>Module Name</t>
  </si>
  <si>
    <t>Case Number</t>
  </si>
  <si>
    <t>State Coverage</t>
  </si>
  <si>
    <t>Unreachable States</t>
  </si>
  <si>
    <t>Deadlocks</t>
  </si>
  <si>
    <t>CWE_1233_example_10_secure_parsed.json</t>
  </si>
  <si>
    <t>aes2_wrapper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</si>
  <si>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</si>
  <si>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</si>
  <si>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</si>
  <si>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</si>
  <si>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</si>
  <si>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CWE_1233_example_1_secure_parsed.json</t>
  </si>
  <si>
    <t>dma_wrapper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</si>
  <si>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</si>
  <si>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</si>
  <si>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</si>
  <si>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</si>
  <si>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CWE_1233_example_2_secure_parsed.json</t>
  </si>
  <si>
    <t>hmac_wrapper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</si>
  <si>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</si>
  <si>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</si>
  <si>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</si>
  <si>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</si>
  <si>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CWE_1233_example_3_secure_parsed.json</t>
  </si>
  <si>
    <t>aes1_wrapper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</si>
  <si>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</si>
  <si>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</si>
  <si>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</si>
  <si>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</si>
  <si>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CWE_1233_example_4_secure_parsed.json</t>
  </si>
  <si>
    <t>pkt_wrapper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</si>
  <si>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</si>
  <si>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</si>
  <si>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</si>
  <si>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</si>
  <si>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CWE_1233_example_5_secure_parsed.json</t>
  </si>
  <si>
    <t>acct_wrapper</t>
  </si>
  <si>
    <t>CWE_1233_example_6_secure_parsed.json</t>
  </si>
  <si>
    <t>rng_wrapper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</si>
  <si>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</si>
  <si>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</si>
  <si>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</si>
  <si>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</si>
  <si>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CWE_1233_example_7_secure_parsed.json</t>
  </si>
  <si>
    <t>rsa_wrapper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</si>
  <si>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</si>
  <si>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</si>
  <si>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</si>
  <si>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</si>
  <si>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CWE_1233_example_8_secure_parsed.json</t>
  </si>
  <si>
    <t>sha256_wrapper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</si>
  <si>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</si>
  <si>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</si>
  <si>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CWE_1233_example_9_secure_parsed.json</t>
  </si>
  <si>
    <t>aes0_wrapper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</si>
  <si>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</si>
  <si>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</si>
  <si>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</si>
  <si>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</si>
  <si>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</si>
  <si>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</si>
  <si>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</si>
  <si>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</t>
  </si>
  <si>
    <t>Assignment Line Numbers</t>
  </si>
  <si>
    <t>Lock Enforcement</t>
  </si>
  <si>
    <t>Security Sensitive Register Coverage</t>
  </si>
  <si>
    <t>start</t>
  </si>
  <si>
    <t>[88, 102, 102]</t>
  </si>
  <si>
    <t>Secure: All locked assignments correctly enforce and reject unauthorized writes</t>
  </si>
  <si>
    <t>Secure: All assignments are protected</t>
  </si>
  <si>
    <t>p_c</t>
  </si>
  <si>
    <t>[89, 90, 91, 92, 104, 104, 106, 106, 108, 108, 110, 110]</t>
  </si>
  <si>
    <t>key0</t>
  </si>
  <si>
    <t>[112, 112, 114, 114, 116, 116, 118, 118]</t>
  </si>
  <si>
    <t>state</t>
  </si>
  <si>
    <t>[93, 94, 95, 96, 120, 120, 122, 122, 124, 124, 126, 126]</t>
  </si>
  <si>
    <t>key1</t>
  </si>
  <si>
    <t>[128, 128, 130, 130, 132, 132, 134, 134]</t>
  </si>
  <si>
    <t>key2</t>
  </si>
  <si>
    <t>[136, 136, 138, 138, 140, 140, 142, 142]</t>
  </si>
  <si>
    <t>key_sel</t>
  </si>
  <si>
    <t>[144, 144]</t>
  </si>
  <si>
    <t>rdata</t>
  </si>
  <si>
    <t>[155, 157, 160, 160, 162, 162, 164, 164, 166, 166, 168, 168, 170, 170, 172, 172, 174, 174, 176, 176, 178, 178, None]</t>
  </si>
  <si>
    <t>Vulnerable: Assignment(s) on line [157] are not protected</t>
  </si>
  <si>
    <t>start_reg</t>
  </si>
  <si>
    <t>[120, 132, 132]</t>
  </si>
  <si>
    <t>length_reg</t>
  </si>
  <si>
    <t>[121, 134, 134]</t>
  </si>
  <si>
    <t>source_addr_lsb_reg</t>
  </si>
  <si>
    <t>[122, 136, 136]</t>
  </si>
  <si>
    <t>source_addr_msb_reg</t>
  </si>
  <si>
    <t>[123, 138, 138]</t>
  </si>
  <si>
    <t>dest_addr_lsb_reg</t>
  </si>
  <si>
    <t>[124, 140, 140]</t>
  </si>
  <si>
    <t>dest_addr_msb_reg</t>
  </si>
  <si>
    <t>[125, 142, 142]</t>
  </si>
  <si>
    <t>done_reg</t>
  </si>
  <si>
    <t>[126, 144, 144]</t>
  </si>
  <si>
    <t>core_lock_reg</t>
  </si>
  <si>
    <t>[119, 146, 146, 146, 146]</t>
  </si>
  <si>
    <t>Vulnerable: Assignment(s) on line [146] are not protected</t>
  </si>
  <si>
    <t>end_reg</t>
  </si>
  <si>
    <t>[127, 148, 148]</t>
  </si>
  <si>
    <t>[159, 163, 163, 165, 165, 167, 167, 169, 169, 171, 171, 173, 173, 175, 175, 177, 177, 179, 179, 181, 181, None]</t>
  </si>
  <si>
    <t>startHash</t>
  </si>
  <si>
    <t>[104, 128, 128]</t>
  </si>
  <si>
    <t>newMessage</t>
  </si>
  <si>
    <t>[105, 129, 129]</t>
  </si>
  <si>
    <t>key_hash_bypass</t>
  </si>
  <si>
    <t>[130, 130]</t>
  </si>
  <si>
    <t>data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</si>
  <si>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</si>
  <si>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</si>
  <si>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</si>
  <si>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</si>
  <si>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</si>
  <si>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</si>
  <si>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None]</t>
  </si>
  <si>
    <t>newMessage_r</t>
  </si>
  <si>
    <t>[87, 93]</t>
  </si>
  <si>
    <t>Vulnerable: Assignment(s) on line [93] are not protected</t>
  </si>
  <si>
    <t>startHash_r</t>
  </si>
  <si>
    <t>[86, 92]</t>
  </si>
  <si>
    <t>Vulnerable: Assignment(s) on line [92] are not protected</t>
  </si>
  <si>
    <t>key</t>
  </si>
  <si>
    <t>[54, 54]</t>
  </si>
  <si>
    <t>Vulnerable: Assignment(s) on line [54]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</si>
  <si>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</si>
  <si>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</si>
  <si>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</si>
  <si>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</si>
  <si>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</si>
  <si>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</si>
  <si>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</si>
  <si>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</si>
  <si>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</si>
  <si>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</si>
  <si>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</si>
  <si>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</si>
  <si>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</si>
  <si>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</si>
  <si>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[233, 259, 259]</t>
  </si>
  <si>
    <t>key_reg0</t>
  </si>
  <si>
    <t>[236, 262, 262]</t>
  </si>
  <si>
    <t>key_reg1</t>
  </si>
  <si>
    <t>[237, 264, 264]</t>
  </si>
  <si>
    <t>key_reg2</t>
  </si>
  <si>
    <t>[238, 266, 266]</t>
  </si>
  <si>
    <t>[276, 281, 281, 283, 283, 285, 285, 287, 287, 289,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</si>
  <si>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</si>
  <si>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</si>
  <si>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</si>
  <si>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</si>
  <si>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</si>
  <si>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</si>
  <si>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fuse_req_o</t>
  </si>
  <si>
    <t>[77, 83, 83]</t>
  </si>
  <si>
    <t>fuse_addr_o</t>
  </si>
  <si>
    <t>[78, 85, 85]</t>
  </si>
  <si>
    <t>[94, 96, 99, 99, 101, 101, 103, 103, 105, 105, 107, 107, None]</t>
  </si>
  <si>
    <t>Vulnerable: Assignment(s) on line [96] are not protected</t>
  </si>
  <si>
    <t>acct_mem</t>
  </si>
  <si>
    <t>[84, 90, 90, 92, 92, 94, 94, 96, 96, 98, 98, 100, 100, 102, 102, 104, 104, 106, 106, 108, 108]</t>
  </si>
  <si>
    <t>Vulnerable: Assignment(s) on line [84] are not protected</t>
  </si>
  <si>
    <t>[117, 121, 121, 123, 123, 125, 125, 127, 127, 129, 129, 131, 131, 133, 133, 135, 135, 137, 137, 139, 139, None]</t>
  </si>
  <si>
    <t>poly128</t>
  </si>
  <si>
    <t>[127, 127, 127, 129, 129, 129, 131, 131, 131, 133, 133, 133]</t>
  </si>
  <si>
    <t>poly64</t>
  </si>
  <si>
    <t>[135, 135, 135, 137, 137, 137]</t>
  </si>
  <si>
    <t>poly32_big</t>
  </si>
  <si>
    <t>[139, 139, 139]</t>
  </si>
  <si>
    <t>poly16_big</t>
  </si>
  <si>
    <t>[141, 141, 141]</t>
  </si>
  <si>
    <t>[152, 156, 156, 156, 158, 158, 158, 160, 160, 160, 162, 162,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</si>
  <si>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poly128_big</t>
  </si>
  <si>
    <t>[63]</t>
  </si>
  <si>
    <t>Vulnerable: Assignment(s) on line [63] are not protected</t>
  </si>
  <si>
    <t>poly64_big</t>
  </si>
  <si>
    <t>[64]</t>
  </si>
  <si>
    <t>Vulnerable: Assignment(s) on line [64] are not protected</t>
  </si>
  <si>
    <t>inter_rst_ni</t>
  </si>
  <si>
    <t>[70, 82, 82]</t>
  </si>
  <si>
    <t>inter_rst1_ni</t>
  </si>
  <si>
    <t>[71, 84, 84]</t>
  </si>
  <si>
    <t>encry_decry_i</t>
  </si>
  <si>
    <t>[72, 86, 86]</t>
  </si>
  <si>
    <t>prime_i</t>
  </si>
  <si>
    <t>[73, 88, 88, 90, 90, 92, 92, 94, 94, 96, 96, 98, 98, 100, 100, 102, 102, 104, 104, 106, 106, 108, 108, 110, 110, 112, 112, 114, 114, 116, 116, 118, 118, 120, 120, 122, 122, 124, 124, 126, 126, 128, 128, 130, 130, 132, 132, 134, 134, 136, 136, 138, 138, 140, 140, 142, 142, 144, 144, 146, 146, 148, 148, 150, 150]</t>
  </si>
  <si>
    <t>prime1_i</t>
  </si>
  <si>
    <t>[74, 153, 153, 155, 155, 157, 157, 159, 159, 161, 161, 163, 163, 165, 165, 167, 167, 169, 169, 171, 171, 173, 173, 175, 175, 177, 177, 179, 179, 181, 181, 183, 183, 185, 185, 187, 187, 189, 189, 191, 191, 193, 193, 195, 195, 197, 197, 199, 199, 201, 201, 203, 203, 205, 205, 207, 207, 209, 209, 211, 211, 213, 213, 215, 215]</t>
  </si>
  <si>
    <t>msg_in</t>
  </si>
  <si>
    <t>[75, 218, 218, 220, 220, 222, 222, 224, 224,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310, 310, 312, 312, 314, 314, 316, 316, 318, 318, 320, 320, 322, 322, 324, 324, 326, 326, 328, 328, 330, 330, 332, 332, 334, 334, 336, 336, 338, 338, 340, 340, 342, 342, 344, 344]</t>
  </si>
  <si>
    <t>[355, 359, 359, 361, 361, 363, 363, 365, 365, 367, 367, 369, 369, 371, 371, 373, 373, 375, 375, 377, 377, 379, 379, 381, 381, 383, 383, 385, 385, 387, 387, 389, 389, 391, 391, 393, 393, 395, 395, 397, 397, 399, 399, 401, 401, 403, 403, 405, 405, 407, 407, 409, 409, 411, 411, 413, 413, 415, 415, 417, 417, 419, 419, 421, 421, 423, 423, 425, 425, 427, 427, 429, 429, 431, 431, 433, 433, 435, 435, 437, 437, 439, 439, 441, 441, 443, 443, 445, 445, 447, 447, 449, 449, 451, 451, 453, 453, 455, 455, 457, 457, 459, 459, 461, 461, 463, 463, 465, 465, 467, 467, 469, 469, 471, 471, 473, 473, 475, 475, 477, 477, 479, 479, 481, 481, 483, 483, 485, 485, 487, 487, None]</t>
  </si>
  <si>
    <t>[98, 122, 122]</t>
  </si>
  <si>
    <t>[99, 123, 123]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</si>
  <si>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</si>
  <si>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171, 173, 173, 175, 175, 177, 177, 179, 179, 181, 181, 183, 183, 185, 185, 187, 187, 189, 189, 191, 191, 193, 193, 195, 195, 197, 197, 199, 199, 201, 201, 203, 203, 205, 205, 207, 207, 209, 209, 211, 211, 213, 213, 215, 215, 217, 217, 219, 219, 221, 221, None]</t>
  </si>
  <si>
    <t>[81, 87]</t>
  </si>
  <si>
    <t>Vulnerable: Assignment(s) on line [87] are not protected</t>
  </si>
  <si>
    <t>[80, 86]</t>
  </si>
  <si>
    <t>Vulnerable: Assignment(s) on line [86] are not protected</t>
  </si>
  <si>
    <t>[86, 99, 99]</t>
  </si>
  <si>
    <t>[87, 88, 89, 90, 101, 101, 103, 103, 105, 105, 107, 107]</t>
  </si>
  <si>
    <t>[109, 109, 111, 111, 113, 113, 115, 115, 117, 117, 119, 119]</t>
  </si>
  <si>
    <t>[91, 92, 93, 94, 121, 121, 123, 123, 125, 125, 127, 127]</t>
  </si>
  <si>
    <t>[129, 129, 131, 131, 133, 133, 135, 135, 137, 137, 139, 139]</t>
  </si>
  <si>
    <t>[141, 141, 143, 143, 145, 145, 147, 147, 149, 149, 151, 151]</t>
  </si>
  <si>
    <t>[153, 153]</t>
  </si>
  <si>
    <t>[165, 167, 170, 170, 172, 172, 174, 174, 176, 176, 178, 178, 180, 180, 182, 182, 184, 184, 186, 186, 188, 188, None]</t>
  </si>
  <si>
    <t>Vulnerable: Assignment(s) on line [167] are not protected</t>
  </si>
  <si>
    <t>Register</t>
  </si>
  <si>
    <t>Reset Coverage</t>
  </si>
  <si>
    <t>Secure: Reset logic found for start (Line No: 88)</t>
  </si>
  <si>
    <t>Secure: Reset logic found for p_c (Line No: 89)</t>
  </si>
  <si>
    <t>Secure: Reset logic found for state (Line No: 93)</t>
  </si>
  <si>
    <t>Vulnerable: No reset logic found for key_sel</t>
  </si>
  <si>
    <t>Vulnerable: No reset logic found for key0</t>
  </si>
  <si>
    <t>Vulnerable: No reset logic found for key1</t>
  </si>
  <si>
    <t>Vulnerable: No reset logic found for key2</t>
  </si>
  <si>
    <t>Secure: Reset logic found for rdata (Line No: 155)</t>
  </si>
  <si>
    <t>Secure: Reset logic found for core_lock_reg (Line No: 119)</t>
  </si>
  <si>
    <t>Secure: Reset logic found for start_reg (Line No: 120)</t>
  </si>
  <si>
    <t>Secure: Reset logic found for length_reg (Line No: 121)</t>
  </si>
  <si>
    <t>Secure: Reset logic found for source_addr_lsb_reg (Line No: 122)</t>
  </si>
  <si>
    <t>Secure: Reset logic found for source_addr_msb_reg (Line No: 123)</t>
  </si>
  <si>
    <t>Secure: Reset logic found for dest_addr_lsb_reg (Line No: 124)</t>
  </si>
  <si>
    <t>Secure: Reset logic found for dest_addr_msb_reg (Line No: 125)</t>
  </si>
  <si>
    <t>Secure: Reset logic found for done_reg (Line No: 126)</t>
  </si>
  <si>
    <t>Secure: Reset logic found for end_reg (Line No: 127)</t>
  </si>
  <si>
    <t>Secure: Reset logic found for rdata (Line No: 159)</t>
  </si>
  <si>
    <t>Secure: Reset logic found for startHash_r (Line No: 86)</t>
  </si>
  <si>
    <t>Secure: Reset logic found for newMessage_r (Line No: 87)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</si>
  <si>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</si>
  <si>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</si>
  <si>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</si>
  <si>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ikey_hash_bytes</t>
  </si>
  <si>
    <t>Vulnerable: No reset logic found for okey_hash_bytes</t>
  </si>
  <si>
    <t>Vulnerable: No reset logic found for key_hash_bypass</t>
  </si>
  <si>
    <t>Secure: Reset logic found for rdata (Line No: 222)</t>
  </si>
  <si>
    <t>Secure: Reset logic found for init_reg_d (Line No: 207)</t>
  </si>
  <si>
    <t>Secure: Reset logic found for next_reg_d (Line No: 208)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</si>
  <si>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</si>
  <si>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</si>
  <si>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</si>
  <si>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</si>
  <si>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</si>
  <si>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</si>
  <si>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</si>
  <si>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block_reg (Line No: 233)</t>
  </si>
  <si>
    <t>Secure: Reset logic found for key_reg0 (Line No: 236)</t>
  </si>
  <si>
    <t>Secure: Reset logic found for key_reg1 (Line No: 237)</t>
  </si>
  <si>
    <t>Secure: Reset logic found for key_reg2 (Line No: 238)</t>
  </si>
  <si>
    <t>Vulnerable: No reset logic found for rdata</t>
  </si>
  <si>
    <t>Secure: Reset logic found for fuse_req_o (Line No: 77)</t>
  </si>
  <si>
    <t>Secure: Reset logic found for fuse_addr_o (Line No: 78)</t>
  </si>
  <si>
    <t>Secure: Reset logic found for rdata (Line No: 94)</t>
  </si>
  <si>
    <t>Vulnerable: No reset logic found for acct_mem</t>
  </si>
  <si>
    <t>Secure: Reset logic found for rdata (Line No: 117)</t>
  </si>
  <si>
    <t>Secure: Skipped for detection, no registers needing reset detected</t>
  </si>
  <si>
    <t>Vulnerable: No reset logic found for poly128</t>
  </si>
  <si>
    <t>Vulnerable: No reset logic found for poly32_big</t>
  </si>
  <si>
    <t>Vulnerable: No reset logic found for poly16_big</t>
  </si>
  <si>
    <t>Vulnerable: No reset logic found for poly64</t>
  </si>
  <si>
    <t>Secure: Reset logic found for rdata (Line No: 152)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</si>
  <si>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</si>
  <si>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</si>
  <si>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</si>
  <si>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</si>
  <si>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</si>
  <si>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msg_in (Line No: 75)</t>
  </si>
  <si>
    <t>Secure: Reset logic found for rdata (Line No: 355)</t>
  </si>
  <si>
    <t>Secure: Reset logic found for startHash_r (Line No: 80)</t>
  </si>
  <si>
    <t>Secure: Reset logic found for newMessage_r (Line No: 81)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</si>
  <si>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</si>
  <si>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</si>
  <si>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</si>
  <si>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</si>
  <si>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start (Line No: 86)</t>
  </si>
  <si>
    <t>Secure: Reset logic found for p_c (Line No: 87)</t>
  </si>
  <si>
    <t>Secure: Reset logic found for state (Line No: 91)</t>
  </si>
  <si>
    <t>Secure: Reset logic found for rdata (Line No: 165)</t>
  </si>
  <si>
    <t>Result Output</t>
  </si>
  <si>
    <t>Intermediate State/Results Leakage</t>
  </si>
  <si>
    <t>Secure: Skipped for detection, not a cryptographic module</t>
  </si>
  <si>
    <t>LoC</t>
  </si>
  <si>
    <t>Detection Time</t>
  </si>
  <si>
    <t>FP</t>
  </si>
  <si>
    <t>TP</t>
  </si>
  <si>
    <t>FN</t>
  </si>
  <si>
    <t>TN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</si>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</sst>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4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>
        <v>2</v>
      </c>
      <c r="D3" t="s">
        <v>8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>
        <v>1</v>
      </c>
      <c r="D4" t="s">
        <v>8</v>
      </c>
      <c r="E4" t="s">
        <v>15</v>
      </c>
      <c r="F4" t="s">
        <v>16</v>
      </c>
    </row>
    <row r="5" spans="1:6" x14ac:dyDescent="0.3">
      <c r="A5" t="s">
        <v>13</v>
      </c>
      <c r="B5" t="s">
        <v>14</v>
      </c>
      <c r="C5">
        <v>2</v>
      </c>
      <c r="D5" t="s">
        <v>8</v>
      </c>
      <c r="E5" t="s">
        <v>17</v>
      </c>
      <c r="F5" t="s">
        <v>18</v>
      </c>
    </row>
    <row r="6" spans="1:6" x14ac:dyDescent="0.3">
      <c r="A6" t="s">
        <v>19</v>
      </c>
      <c r="B6" t="s">
        <v>20</v>
      </c>
      <c r="C6">
        <v>1</v>
      </c>
      <c r="D6" t="s">
        <v>8</v>
      </c>
      <c r="E6" t="s">
        <v>21</v>
      </c>
      <c r="F6" t="s">
        <v>22</v>
      </c>
    </row>
    <row r="7" spans="1:6" x14ac:dyDescent="0.3">
      <c r="A7" t="s">
        <v>19</v>
      </c>
      <c r="B7" t="s">
        <v>20</v>
      </c>
      <c r="C7">
        <v>2</v>
      </c>
      <c r="D7" t="s">
        <v>8</v>
      </c>
      <c r="E7" t="s">
        <v>23</v>
      </c>
      <c r="F7" t="s">
        <v>24</v>
      </c>
    </row>
    <row r="8" spans="1:6" x14ac:dyDescent="0.3">
      <c r="A8" t="s">
        <v>25</v>
      </c>
      <c r="B8" t="s">
        <v>26</v>
      </c>
      <c r="C8">
        <v>1</v>
      </c>
      <c r="D8" t="s">
        <v>8</v>
      </c>
      <c r="E8" t="s">
        <v>27</v>
      </c>
      <c r="F8" t="s">
        <v>28</v>
      </c>
    </row>
    <row r="9" spans="1:6" x14ac:dyDescent="0.3">
      <c r="A9" t="s">
        <v>25</v>
      </c>
      <c r="B9" t="s">
        <v>26</v>
      </c>
      <c r="C9">
        <v>2</v>
      </c>
      <c r="D9" t="s">
        <v>8</v>
      </c>
      <c r="E9" t="s">
        <v>29</v>
      </c>
      <c r="F9" t="s">
        <v>30</v>
      </c>
    </row>
    <row r="10" spans="1:6" x14ac:dyDescent="0.3">
      <c r="A10" t="s">
        <v>31</v>
      </c>
      <c r="B10" t="s">
        <v>32</v>
      </c>
      <c r="C10">
        <v>1</v>
      </c>
      <c r="D10" t="s">
        <v>8</v>
      </c>
      <c r="E10" t="s">
        <v>33</v>
      </c>
      <c r="F10" t="s">
        <v>34</v>
      </c>
    </row>
    <row r="11" spans="1:6" x14ac:dyDescent="0.3">
      <c r="A11" t="s">
        <v>31</v>
      </c>
      <c r="B11" t="s">
        <v>32</v>
      </c>
      <c r="C11">
        <v>2</v>
      </c>
      <c r="D11" t="s">
        <v>8</v>
      </c>
      <c r="E11" t="s">
        <v>35</v>
      </c>
      <c r="F11" t="s">
        <v>36</v>
      </c>
    </row>
    <row r="12" spans="1:6" x14ac:dyDescent="0.3">
      <c r="A12" t="s">
        <v>37</v>
      </c>
      <c r="B12" t="s">
        <v>38</v>
      </c>
      <c r="C12">
        <v>1</v>
      </c>
      <c r="D12" t="s">
        <v>8</v>
      </c>
      <c r="E12" t="s">
        <v>17</v>
      </c>
      <c r="F12" t="s">
        <v>18</v>
      </c>
    </row>
    <row r="13" spans="1:6" x14ac:dyDescent="0.3">
      <c r="A13" t="s">
        <v>37</v>
      </c>
      <c r="B13" t="s">
        <v>38</v>
      </c>
      <c r="C13">
        <v>2</v>
      </c>
      <c r="D13" t="s">
        <v>8</v>
      </c>
      <c r="E13" t="s">
        <v>17</v>
      </c>
      <c r="F13" t="s">
        <v>18</v>
      </c>
    </row>
    <row r="14" spans="1:6" x14ac:dyDescent="0.3">
      <c r="A14" t="s">
        <v>39</v>
      </c>
      <c r="B14" t="s">
        <v>40</v>
      </c>
      <c r="C14">
        <v>1</v>
      </c>
      <c r="D14" t="s">
        <v>8</v>
      </c>
      <c r="E14" t="s">
        <v>41</v>
      </c>
      <c r="F14" t="s">
        <v>42</v>
      </c>
    </row>
    <row r="15" spans="1:6" x14ac:dyDescent="0.3">
      <c r="A15" t="s">
        <v>39</v>
      </c>
      <c r="B15" t="s">
        <v>40</v>
      </c>
      <c r="C15">
        <v>2</v>
      </c>
      <c r="D15" t="s">
        <v>8</v>
      </c>
      <c r="E15" t="s">
        <v>43</v>
      </c>
      <c r="F15" t="s">
        <v>44</v>
      </c>
    </row>
    <row r="16" spans="1:6" x14ac:dyDescent="0.3">
      <c r="A16" t="s">
        <v>45</v>
      </c>
      <c r="B16" t="s">
        <v>46</v>
      </c>
      <c r="C16">
        <v>1</v>
      </c>
      <c r="D16" t="s">
        <v>8</v>
      </c>
      <c r="E16" t="s">
        <v>47</v>
      </c>
      <c r="F16" t="s">
        <v>48</v>
      </c>
    </row>
    <row r="17" spans="1:6" x14ac:dyDescent="0.3">
      <c r="A17" t="s">
        <v>45</v>
      </c>
      <c r="B17" t="s">
        <v>46</v>
      </c>
      <c r="C17">
        <v>2</v>
      </c>
      <c r="D17" t="s">
        <v>8</v>
      </c>
      <c r="E17" t="s">
        <v>49</v>
      </c>
      <c r="F17" t="s">
        <v>50</v>
      </c>
    </row>
    <row r="18" spans="1:6" x14ac:dyDescent="0.3">
      <c r="A18" t="s">
        <v>51</v>
      </c>
      <c r="B18" t="s">
        <v>52</v>
      </c>
      <c r="C18">
        <v>1</v>
      </c>
      <c r="D18" t="s">
        <v>8</v>
      </c>
      <c r="E18" t="s">
        <v>53</v>
      </c>
      <c r="F18" t="s">
        <v>54</v>
      </c>
    </row>
    <row r="19" spans="1:6" x14ac:dyDescent="0.3">
      <c r="A19" t="s">
        <v>51</v>
      </c>
      <c r="B19" t="s">
        <v>52</v>
      </c>
      <c r="C19">
        <v>2</v>
      </c>
      <c r="D19" t="s">
        <v>8</v>
      </c>
      <c r="E19" t="s">
        <v>43</v>
      </c>
      <c r="F19" t="s">
        <v>44</v>
      </c>
    </row>
    <row r="20" spans="1:6" x14ac:dyDescent="0.3">
      <c r="A20" t="s">
        <v>55</v>
      </c>
      <c r="B20" t="s">
        <v>56</v>
      </c>
      <c r="C20">
        <v>1</v>
      </c>
      <c r="D20" t="s">
        <v>8</v>
      </c>
      <c r="E20" t="s">
        <v>57</v>
      </c>
      <c r="F20" t="s">
        <v>58</v>
      </c>
    </row>
    <row r="21" spans="1:6" x14ac:dyDescent="0.3">
      <c r="A21" t="s">
        <v>55</v>
      </c>
      <c r="B21" t="s">
        <v>56</v>
      </c>
      <c r="C21">
        <v>2</v>
      </c>
      <c r="D21" t="s">
        <v>8</v>
      </c>
      <c r="E21" t="s">
        <v>59</v>
      </c>
      <c r="F21" t="s">
        <v>60</v>
      </c>
    </row>
    <row r="22" spans="1:6" x14ac:dyDescent="0.3">
      <c r="A22" t="s">
        <v>61</v>
      </c>
      <c r="C22">
        <v>20</v>
      </c>
      <c r="D22" t="s">
        <v>62</v>
      </c>
      <c r="E22" t="s">
        <v>63</v>
      </c>
      <c r="F2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7"/>
  <sheetViews>
    <sheetView tabSelected="1" workbookViewId="0">
      <selection activeCell="Q13" sqref="Q13"/>
    </sheetView>
  </sheetViews>
  <sheetFormatPr defaultRowHeight="14.4" x14ac:dyDescent="0.3"/>
  <cols>
    <col min="1" max="1" width="39.6640625" bestFit="1" customWidth="1"/>
    <col min="2" max="2" width="15.109375" bestFit="1" customWidth="1"/>
    <col min="3" max="3" width="24.109375" bestFit="1" customWidth="1"/>
  </cols>
  <sheetData>
    <row r="1" spans="1:18" x14ac:dyDescent="0.3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18" x14ac:dyDescent="0.3">
      <c r="A2" t="s">
        <v>6</v>
      </c>
      <c r="B2" t="s">
        <v>7</v>
      </c>
      <c r="C2" t="s">
        <v>68</v>
      </c>
      <c r="D2" t="s">
        <v>69</v>
      </c>
      <c r="E2" t="s">
        <v>70</v>
      </c>
      <c r="F2" t="s">
        <v>71</v>
      </c>
      <c r="J2" t="s">
        <v>290</v>
      </c>
    </row>
    <row r="3" spans="1:18" x14ac:dyDescent="0.3">
      <c r="A3" t="s">
        <v>6</v>
      </c>
      <c r="B3" t="s">
        <v>7</v>
      </c>
      <c r="C3" t="s">
        <v>72</v>
      </c>
      <c r="D3" t="s">
        <v>73</v>
      </c>
      <c r="E3" t="s">
        <v>70</v>
      </c>
      <c r="F3" t="s">
        <v>71</v>
      </c>
      <c r="J3" t="s">
        <v>290</v>
      </c>
    </row>
    <row r="4" spans="1:18" x14ac:dyDescent="0.3">
      <c r="A4" t="s">
        <v>6</v>
      </c>
      <c r="B4" t="s">
        <v>7</v>
      </c>
      <c r="C4" t="s">
        <v>74</v>
      </c>
      <c r="D4" t="s">
        <v>75</v>
      </c>
      <c r="E4" t="s">
        <v>70</v>
      </c>
      <c r="F4" t="s">
        <v>71</v>
      </c>
      <c r="J4" t="s">
        <v>290</v>
      </c>
    </row>
    <row r="5" spans="1:18" x14ac:dyDescent="0.3">
      <c r="A5" t="s">
        <v>6</v>
      </c>
      <c r="B5" t="s">
        <v>7</v>
      </c>
      <c r="C5" t="s">
        <v>76</v>
      </c>
      <c r="D5" t="s">
        <v>77</v>
      </c>
      <c r="E5" t="s">
        <v>70</v>
      </c>
      <c r="F5" t="s">
        <v>71</v>
      </c>
      <c r="J5" t="s">
        <v>290</v>
      </c>
    </row>
    <row r="6" spans="1:18" x14ac:dyDescent="0.3">
      <c r="A6" t="s">
        <v>6</v>
      </c>
      <c r="B6" t="s">
        <v>7</v>
      </c>
      <c r="C6" t="s">
        <v>78</v>
      </c>
      <c r="D6" t="s">
        <v>79</v>
      </c>
      <c r="E6" t="s">
        <v>70</v>
      </c>
      <c r="F6" t="s">
        <v>71</v>
      </c>
      <c r="J6" t="s">
        <v>290</v>
      </c>
    </row>
    <row r="7" spans="1:18" x14ac:dyDescent="0.3">
      <c r="A7" t="s">
        <v>6</v>
      </c>
      <c r="B7" t="s">
        <v>7</v>
      </c>
      <c r="C7" t="s">
        <v>80</v>
      </c>
      <c r="D7" t="s">
        <v>81</v>
      </c>
      <c r="E7" t="s">
        <v>70</v>
      </c>
      <c r="F7" t="s">
        <v>71</v>
      </c>
      <c r="J7" t="s">
        <v>290</v>
      </c>
    </row>
    <row r="8" spans="1:18" x14ac:dyDescent="0.3">
      <c r="A8" t="s">
        <v>6</v>
      </c>
      <c r="B8" t="s">
        <v>7</v>
      </c>
      <c r="C8" t="s">
        <v>82</v>
      </c>
      <c r="D8" t="s">
        <v>83</v>
      </c>
      <c r="E8" t="s">
        <v>70</v>
      </c>
      <c r="F8" t="s">
        <v>71</v>
      </c>
      <c r="J8" t="s">
        <v>290</v>
      </c>
    </row>
    <row r="9" spans="1:18" x14ac:dyDescent="0.3">
      <c r="A9" t="s">
        <v>6</v>
      </c>
      <c r="B9" t="s">
        <v>7</v>
      </c>
      <c r="C9" t="s">
        <v>84</v>
      </c>
      <c r="D9" t="s">
        <v>85</v>
      </c>
      <c r="E9" t="s">
        <v>70</v>
      </c>
      <c r="F9" t="s">
        <v>86</v>
      </c>
      <c r="J9" t="s">
        <v>290</v>
      </c>
    </row>
    <row r="10" spans="1:18" x14ac:dyDescent="0.3">
      <c r="A10" t="s">
        <v>13</v>
      </c>
      <c r="B10" t="s">
        <v>14</v>
      </c>
      <c r="C10" t="s">
        <v>87</v>
      </c>
      <c r="D10" t="s">
        <v>88</v>
      </c>
      <c r="E10" t="s">
        <v>70</v>
      </c>
      <c r="F10" t="s">
        <v>71</v>
      </c>
      <c r="J10" t="s">
        <v>290</v>
      </c>
    </row>
    <row r="11" spans="1:18" x14ac:dyDescent="0.3">
      <c r="A11" t="s">
        <v>13</v>
      </c>
      <c r="B11" t="s">
        <v>14</v>
      </c>
      <c r="C11" t="s">
        <v>89</v>
      </c>
      <c r="D11" t="s">
        <v>90</v>
      </c>
      <c r="E11" t="s">
        <v>70</v>
      </c>
      <c r="F11" t="s">
        <v>71</v>
      </c>
      <c r="J11" t="s">
        <v>290</v>
      </c>
      <c r="O11" t="s">
        <v>290</v>
      </c>
      <c r="P11" t="s">
        <v>289</v>
      </c>
      <c r="Q11" t="s">
        <v>291</v>
      </c>
      <c r="R11" t="s">
        <v>292</v>
      </c>
    </row>
    <row r="12" spans="1:18" x14ac:dyDescent="0.3">
      <c r="A12" t="s">
        <v>13</v>
      </c>
      <c r="B12" t="s">
        <v>14</v>
      </c>
      <c r="C12" t="s">
        <v>91</v>
      </c>
      <c r="D12" t="s">
        <v>92</v>
      </c>
      <c r="E12" t="s">
        <v>70</v>
      </c>
      <c r="F12" t="s">
        <v>71</v>
      </c>
      <c r="J12" t="s">
        <v>290</v>
      </c>
      <c r="O12">
        <f>COUNTIF(J2:J77, "TP")</f>
        <v>65</v>
      </c>
      <c r="P12">
        <f>COUNTIF(J2:J77, "FP")</f>
        <v>11</v>
      </c>
      <c r="Q12">
        <v>0</v>
      </c>
      <c r="R12">
        <f>COUNTIF(J2:J77, "TN")</f>
        <v>0</v>
      </c>
    </row>
    <row r="13" spans="1:18" x14ac:dyDescent="0.3">
      <c r="A13" t="s">
        <v>13</v>
      </c>
      <c r="B13" t="s">
        <v>14</v>
      </c>
      <c r="C13" t="s">
        <v>93</v>
      </c>
      <c r="D13" t="s">
        <v>94</v>
      </c>
      <c r="E13" t="s">
        <v>70</v>
      </c>
      <c r="F13" t="s">
        <v>71</v>
      </c>
      <c r="J13" t="s">
        <v>290</v>
      </c>
    </row>
    <row r="14" spans="1:18" x14ac:dyDescent="0.3">
      <c r="A14" t="s">
        <v>13</v>
      </c>
      <c r="B14" t="s">
        <v>14</v>
      </c>
      <c r="C14" t="s">
        <v>95</v>
      </c>
      <c r="D14" t="s">
        <v>96</v>
      </c>
      <c r="E14" t="s">
        <v>70</v>
      </c>
      <c r="F14" t="s">
        <v>71</v>
      </c>
      <c r="J14" t="s">
        <v>290</v>
      </c>
      <c r="N14" t="s">
        <v>293</v>
      </c>
      <c r="O14">
        <f>O12/(O12+Q12)</f>
        <v>1</v>
      </c>
    </row>
    <row r="15" spans="1:18" x14ac:dyDescent="0.3">
      <c r="A15" t="s">
        <v>13</v>
      </c>
      <c r="B15" t="s">
        <v>14</v>
      </c>
      <c r="C15" t="s">
        <v>97</v>
      </c>
      <c r="D15" t="s">
        <v>98</v>
      </c>
      <c r="E15" t="s">
        <v>70</v>
      </c>
      <c r="F15" t="s">
        <v>71</v>
      </c>
      <c r="J15" t="s">
        <v>290</v>
      </c>
      <c r="N15" t="s">
        <v>294</v>
      </c>
      <c r="O15">
        <f>O12/(O12+P12)</f>
        <v>0.85526315789473684</v>
      </c>
    </row>
    <row r="16" spans="1:18" x14ac:dyDescent="0.3">
      <c r="A16" t="s">
        <v>13</v>
      </c>
      <c r="B16" t="s">
        <v>14</v>
      </c>
      <c r="C16" t="s">
        <v>99</v>
      </c>
      <c r="D16" t="s">
        <v>100</v>
      </c>
      <c r="E16" t="s">
        <v>70</v>
      </c>
      <c r="F16" t="s">
        <v>71</v>
      </c>
      <c r="J16" t="s">
        <v>290</v>
      </c>
    </row>
    <row r="17" spans="1:10" x14ac:dyDescent="0.3">
      <c r="A17" t="s">
        <v>13</v>
      </c>
      <c r="B17" t="s">
        <v>14</v>
      </c>
      <c r="C17" t="s">
        <v>101</v>
      </c>
      <c r="D17" t="s">
        <v>102</v>
      </c>
      <c r="E17" t="s">
        <v>70</v>
      </c>
      <c r="F17" t="s">
        <v>103</v>
      </c>
      <c r="J17" t="s">
        <v>289</v>
      </c>
    </row>
    <row r="18" spans="1:10" x14ac:dyDescent="0.3">
      <c r="A18" t="s">
        <v>13</v>
      </c>
      <c r="B18" t="s">
        <v>14</v>
      </c>
      <c r="C18" t="s">
        <v>104</v>
      </c>
      <c r="D18" t="s">
        <v>105</v>
      </c>
      <c r="E18" t="s">
        <v>70</v>
      </c>
      <c r="F18" t="s">
        <v>71</v>
      </c>
      <c r="J18" t="s">
        <v>290</v>
      </c>
    </row>
    <row r="19" spans="1:10" x14ac:dyDescent="0.3">
      <c r="A19" t="s">
        <v>13</v>
      </c>
      <c r="B19" t="s">
        <v>14</v>
      </c>
      <c r="C19" t="s">
        <v>84</v>
      </c>
      <c r="D19" t="s">
        <v>106</v>
      </c>
      <c r="E19" t="s">
        <v>70</v>
      </c>
      <c r="F19" t="s">
        <v>71</v>
      </c>
      <c r="J19" t="s">
        <v>290</v>
      </c>
    </row>
    <row r="20" spans="1:10" x14ac:dyDescent="0.3">
      <c r="A20" t="s">
        <v>19</v>
      </c>
      <c r="B20" t="s">
        <v>20</v>
      </c>
      <c r="C20" t="s">
        <v>107</v>
      </c>
      <c r="D20" t="s">
        <v>108</v>
      </c>
      <c r="E20" t="s">
        <v>70</v>
      </c>
      <c r="F20" t="s">
        <v>71</v>
      </c>
      <c r="J20" t="s">
        <v>290</v>
      </c>
    </row>
    <row r="21" spans="1:10" x14ac:dyDescent="0.3">
      <c r="A21" t="s">
        <v>19</v>
      </c>
      <c r="B21" t="s">
        <v>20</v>
      </c>
      <c r="C21" t="s">
        <v>109</v>
      </c>
      <c r="D21" t="s">
        <v>110</v>
      </c>
      <c r="E21" t="s">
        <v>70</v>
      </c>
      <c r="F21" t="s">
        <v>71</v>
      </c>
      <c r="J21" t="s">
        <v>290</v>
      </c>
    </row>
    <row r="22" spans="1:10" x14ac:dyDescent="0.3">
      <c r="A22" t="s">
        <v>19</v>
      </c>
      <c r="B22" t="s">
        <v>20</v>
      </c>
      <c r="C22" t="s">
        <v>111</v>
      </c>
      <c r="D22" t="s">
        <v>112</v>
      </c>
      <c r="E22" t="s">
        <v>70</v>
      </c>
      <c r="F22" t="s">
        <v>71</v>
      </c>
      <c r="J22" t="s">
        <v>290</v>
      </c>
    </row>
    <row r="23" spans="1:10" x14ac:dyDescent="0.3">
      <c r="A23" t="s">
        <v>19</v>
      </c>
      <c r="B23" t="s">
        <v>20</v>
      </c>
      <c r="C23" t="s">
        <v>113</v>
      </c>
      <c r="D23" t="s">
        <v>114</v>
      </c>
      <c r="E23" t="s">
        <v>70</v>
      </c>
      <c r="F23" t="s">
        <v>71</v>
      </c>
      <c r="J23" t="s">
        <v>290</v>
      </c>
    </row>
    <row r="24" spans="1:10" x14ac:dyDescent="0.3">
      <c r="A24" t="s">
        <v>19</v>
      </c>
      <c r="B24" t="s">
        <v>20</v>
      </c>
      <c r="C24" t="s">
        <v>74</v>
      </c>
      <c r="D24" t="s">
        <v>115</v>
      </c>
      <c r="E24" t="s">
        <v>70</v>
      </c>
      <c r="F24" t="s">
        <v>71</v>
      </c>
      <c r="J24" t="s">
        <v>290</v>
      </c>
    </row>
    <row r="25" spans="1:10" x14ac:dyDescent="0.3">
      <c r="A25" t="s">
        <v>19</v>
      </c>
      <c r="B25" t="s">
        <v>20</v>
      </c>
      <c r="C25" t="s">
        <v>116</v>
      </c>
      <c r="D25" t="s">
        <v>117</v>
      </c>
      <c r="E25" t="s">
        <v>70</v>
      </c>
      <c r="F25" t="s">
        <v>71</v>
      </c>
      <c r="J25" t="s">
        <v>290</v>
      </c>
    </row>
    <row r="26" spans="1:10" x14ac:dyDescent="0.3">
      <c r="A26" t="s">
        <v>19</v>
      </c>
      <c r="B26" t="s">
        <v>20</v>
      </c>
      <c r="C26" t="s">
        <v>118</v>
      </c>
      <c r="D26" t="s">
        <v>119</v>
      </c>
      <c r="E26" t="s">
        <v>70</v>
      </c>
      <c r="F26" t="s">
        <v>71</v>
      </c>
      <c r="J26" t="s">
        <v>290</v>
      </c>
    </row>
    <row r="27" spans="1:10" x14ac:dyDescent="0.3">
      <c r="A27" t="s">
        <v>19</v>
      </c>
      <c r="B27" t="s">
        <v>20</v>
      </c>
      <c r="C27" t="s">
        <v>84</v>
      </c>
      <c r="D27" t="s">
        <v>120</v>
      </c>
      <c r="E27" t="s">
        <v>70</v>
      </c>
      <c r="F27" t="s">
        <v>71</v>
      </c>
      <c r="J27" t="s">
        <v>290</v>
      </c>
    </row>
    <row r="28" spans="1:10" x14ac:dyDescent="0.3">
      <c r="A28" t="s">
        <v>19</v>
      </c>
      <c r="B28" t="s">
        <v>20</v>
      </c>
      <c r="C28" t="s">
        <v>121</v>
      </c>
      <c r="D28" t="s">
        <v>122</v>
      </c>
      <c r="E28" t="s">
        <v>70</v>
      </c>
      <c r="F28" t="s">
        <v>123</v>
      </c>
      <c r="J28" t="s">
        <v>289</v>
      </c>
    </row>
    <row r="29" spans="1:10" x14ac:dyDescent="0.3">
      <c r="A29" t="s">
        <v>19</v>
      </c>
      <c r="B29" t="s">
        <v>20</v>
      </c>
      <c r="C29" t="s">
        <v>124</v>
      </c>
      <c r="D29" t="s">
        <v>125</v>
      </c>
      <c r="E29" t="s">
        <v>70</v>
      </c>
      <c r="F29" t="s">
        <v>126</v>
      </c>
      <c r="J29" t="s">
        <v>289</v>
      </c>
    </row>
    <row r="30" spans="1:10" x14ac:dyDescent="0.3">
      <c r="A30" t="s">
        <v>19</v>
      </c>
      <c r="B30" t="s">
        <v>20</v>
      </c>
      <c r="C30" t="s">
        <v>127</v>
      </c>
      <c r="D30" t="s">
        <v>128</v>
      </c>
      <c r="E30" t="s">
        <v>70</v>
      </c>
      <c r="F30" t="s">
        <v>129</v>
      </c>
      <c r="J30" t="s">
        <v>289</v>
      </c>
    </row>
    <row r="31" spans="1:10" x14ac:dyDescent="0.3">
      <c r="A31" t="s">
        <v>25</v>
      </c>
      <c r="B31" t="s">
        <v>26</v>
      </c>
      <c r="C31" t="s">
        <v>130</v>
      </c>
      <c r="D31" t="s">
        <v>131</v>
      </c>
      <c r="E31" t="s">
        <v>70</v>
      </c>
      <c r="F31" t="s">
        <v>71</v>
      </c>
      <c r="J31" t="s">
        <v>290</v>
      </c>
    </row>
    <row r="32" spans="1:10" x14ac:dyDescent="0.3">
      <c r="A32" t="s">
        <v>25</v>
      </c>
      <c r="B32" t="s">
        <v>26</v>
      </c>
      <c r="C32" t="s">
        <v>132</v>
      </c>
      <c r="D32" t="s">
        <v>133</v>
      </c>
      <c r="E32" t="s">
        <v>70</v>
      </c>
      <c r="F32" t="s">
        <v>71</v>
      </c>
      <c r="J32" t="s">
        <v>290</v>
      </c>
    </row>
    <row r="33" spans="1:10" x14ac:dyDescent="0.3">
      <c r="A33" t="s">
        <v>25</v>
      </c>
      <c r="B33" t="s">
        <v>26</v>
      </c>
      <c r="C33" t="s">
        <v>134</v>
      </c>
      <c r="D33" t="s">
        <v>135</v>
      </c>
      <c r="E33" t="s">
        <v>70</v>
      </c>
      <c r="F33" t="s">
        <v>71</v>
      </c>
      <c r="J33" t="s">
        <v>290</v>
      </c>
    </row>
    <row r="34" spans="1:10" x14ac:dyDescent="0.3">
      <c r="A34" t="s">
        <v>25</v>
      </c>
      <c r="B34" t="s">
        <v>26</v>
      </c>
      <c r="C34" t="s">
        <v>136</v>
      </c>
      <c r="D34" t="s">
        <v>137</v>
      </c>
      <c r="E34" t="s">
        <v>70</v>
      </c>
      <c r="F34" t="s">
        <v>71</v>
      </c>
      <c r="J34" t="s">
        <v>290</v>
      </c>
    </row>
    <row r="35" spans="1:10" x14ac:dyDescent="0.3">
      <c r="A35" t="s">
        <v>25</v>
      </c>
      <c r="B35" t="s">
        <v>26</v>
      </c>
      <c r="C35" t="s">
        <v>138</v>
      </c>
      <c r="D35" t="s">
        <v>139</v>
      </c>
      <c r="E35" t="s">
        <v>70</v>
      </c>
      <c r="F35" t="s">
        <v>71</v>
      </c>
      <c r="J35" t="s">
        <v>290</v>
      </c>
    </row>
    <row r="36" spans="1:10" x14ac:dyDescent="0.3">
      <c r="A36" t="s">
        <v>25</v>
      </c>
      <c r="B36" t="s">
        <v>26</v>
      </c>
      <c r="C36" t="s">
        <v>140</v>
      </c>
      <c r="D36" t="s">
        <v>141</v>
      </c>
      <c r="E36" t="s">
        <v>70</v>
      </c>
      <c r="F36" t="s">
        <v>71</v>
      </c>
      <c r="J36" t="s">
        <v>290</v>
      </c>
    </row>
    <row r="37" spans="1:10" x14ac:dyDescent="0.3">
      <c r="A37" t="s">
        <v>25</v>
      </c>
      <c r="B37" t="s">
        <v>26</v>
      </c>
      <c r="C37" t="s">
        <v>82</v>
      </c>
      <c r="D37" t="s">
        <v>142</v>
      </c>
      <c r="E37" t="s">
        <v>70</v>
      </c>
      <c r="F37" t="s">
        <v>71</v>
      </c>
      <c r="J37" t="s">
        <v>290</v>
      </c>
    </row>
    <row r="38" spans="1:10" x14ac:dyDescent="0.3">
      <c r="A38" t="s">
        <v>25</v>
      </c>
      <c r="B38" t="s">
        <v>26</v>
      </c>
      <c r="C38" t="s">
        <v>143</v>
      </c>
      <c r="D38" t="s">
        <v>144</v>
      </c>
      <c r="E38" t="s">
        <v>70</v>
      </c>
      <c r="F38" t="s">
        <v>71</v>
      </c>
      <c r="J38" t="s">
        <v>290</v>
      </c>
    </row>
    <row r="39" spans="1:10" x14ac:dyDescent="0.3">
      <c r="A39" t="s">
        <v>25</v>
      </c>
      <c r="B39" t="s">
        <v>26</v>
      </c>
      <c r="C39" t="s">
        <v>145</v>
      </c>
      <c r="D39" t="s">
        <v>146</v>
      </c>
      <c r="E39" t="s">
        <v>70</v>
      </c>
      <c r="F39" t="s">
        <v>71</v>
      </c>
      <c r="J39" t="s">
        <v>290</v>
      </c>
    </row>
    <row r="40" spans="1:10" x14ac:dyDescent="0.3">
      <c r="A40" t="s">
        <v>25</v>
      </c>
      <c r="B40" t="s">
        <v>26</v>
      </c>
      <c r="C40" t="s">
        <v>147</v>
      </c>
      <c r="D40" t="s">
        <v>148</v>
      </c>
      <c r="E40" t="s">
        <v>70</v>
      </c>
      <c r="F40" t="s">
        <v>71</v>
      </c>
      <c r="J40" t="s">
        <v>290</v>
      </c>
    </row>
    <row r="41" spans="1:10" x14ac:dyDescent="0.3">
      <c r="A41" t="s">
        <v>25</v>
      </c>
      <c r="B41" t="s">
        <v>26</v>
      </c>
      <c r="C41" t="s">
        <v>149</v>
      </c>
      <c r="D41" t="s">
        <v>150</v>
      </c>
      <c r="E41" t="s">
        <v>70</v>
      </c>
      <c r="F41" t="s">
        <v>71</v>
      </c>
      <c r="J41" t="s">
        <v>290</v>
      </c>
    </row>
    <row r="42" spans="1:10" x14ac:dyDescent="0.3">
      <c r="A42" t="s">
        <v>25</v>
      </c>
      <c r="B42" t="s">
        <v>26</v>
      </c>
      <c r="C42" t="s">
        <v>84</v>
      </c>
      <c r="D42" t="s">
        <v>151</v>
      </c>
      <c r="E42" t="s">
        <v>70</v>
      </c>
      <c r="F42" t="s">
        <v>71</v>
      </c>
      <c r="J42" t="s">
        <v>290</v>
      </c>
    </row>
    <row r="43" spans="1:10" x14ac:dyDescent="0.3">
      <c r="A43" t="s">
        <v>25</v>
      </c>
      <c r="B43" t="s">
        <v>26</v>
      </c>
      <c r="C43" t="s">
        <v>152</v>
      </c>
      <c r="D43" t="s">
        <v>153</v>
      </c>
      <c r="E43" t="s">
        <v>70</v>
      </c>
      <c r="F43" t="s">
        <v>154</v>
      </c>
      <c r="J43" t="s">
        <v>289</v>
      </c>
    </row>
    <row r="44" spans="1:10" x14ac:dyDescent="0.3">
      <c r="A44" t="s">
        <v>25</v>
      </c>
      <c r="B44" t="s">
        <v>26</v>
      </c>
      <c r="C44" t="s">
        <v>155</v>
      </c>
      <c r="D44" t="s">
        <v>156</v>
      </c>
      <c r="E44" t="s">
        <v>70</v>
      </c>
      <c r="F44" t="s">
        <v>157</v>
      </c>
      <c r="J44" t="s">
        <v>289</v>
      </c>
    </row>
    <row r="45" spans="1:10" x14ac:dyDescent="0.3">
      <c r="A45" t="s">
        <v>31</v>
      </c>
      <c r="B45" t="s">
        <v>32</v>
      </c>
      <c r="C45" t="s">
        <v>158</v>
      </c>
      <c r="D45" t="s">
        <v>159</v>
      </c>
      <c r="E45" t="s">
        <v>70</v>
      </c>
      <c r="F45" t="s">
        <v>71</v>
      </c>
      <c r="J45" t="s">
        <v>290</v>
      </c>
    </row>
    <row r="46" spans="1:10" x14ac:dyDescent="0.3">
      <c r="A46" t="s">
        <v>31</v>
      </c>
      <c r="B46" t="s">
        <v>32</v>
      </c>
      <c r="C46" t="s">
        <v>160</v>
      </c>
      <c r="D46" t="s">
        <v>161</v>
      </c>
      <c r="E46" t="s">
        <v>70</v>
      </c>
      <c r="F46" t="s">
        <v>71</v>
      </c>
      <c r="J46" t="s">
        <v>290</v>
      </c>
    </row>
    <row r="47" spans="1:10" x14ac:dyDescent="0.3">
      <c r="A47" t="s">
        <v>31</v>
      </c>
      <c r="B47" t="s">
        <v>32</v>
      </c>
      <c r="C47" t="s">
        <v>84</v>
      </c>
      <c r="D47" t="s">
        <v>162</v>
      </c>
      <c r="E47" t="s">
        <v>70</v>
      </c>
      <c r="F47" t="s">
        <v>163</v>
      </c>
      <c r="J47" t="s">
        <v>290</v>
      </c>
    </row>
    <row r="48" spans="1:10" x14ac:dyDescent="0.3">
      <c r="A48" t="s">
        <v>37</v>
      </c>
      <c r="B48" t="s">
        <v>38</v>
      </c>
      <c r="C48" t="s">
        <v>164</v>
      </c>
      <c r="D48" t="s">
        <v>165</v>
      </c>
      <c r="E48" t="s">
        <v>70</v>
      </c>
      <c r="F48" t="s">
        <v>166</v>
      </c>
      <c r="J48" t="s">
        <v>289</v>
      </c>
    </row>
    <row r="49" spans="1:10" x14ac:dyDescent="0.3">
      <c r="A49" t="s">
        <v>37</v>
      </c>
      <c r="B49" t="s">
        <v>38</v>
      </c>
      <c r="C49" t="s">
        <v>84</v>
      </c>
      <c r="D49" t="s">
        <v>167</v>
      </c>
      <c r="E49" t="s">
        <v>70</v>
      </c>
      <c r="F49" t="s">
        <v>71</v>
      </c>
      <c r="J49" t="s">
        <v>290</v>
      </c>
    </row>
    <row r="50" spans="1:10" x14ac:dyDescent="0.3">
      <c r="A50" t="s">
        <v>39</v>
      </c>
      <c r="B50" t="s">
        <v>40</v>
      </c>
      <c r="C50" t="s">
        <v>168</v>
      </c>
      <c r="D50" t="s">
        <v>169</v>
      </c>
      <c r="E50" t="s">
        <v>70</v>
      </c>
      <c r="F50" t="s">
        <v>71</v>
      </c>
      <c r="J50" t="s">
        <v>290</v>
      </c>
    </row>
    <row r="51" spans="1:10" x14ac:dyDescent="0.3">
      <c r="A51" t="s">
        <v>39</v>
      </c>
      <c r="B51" t="s">
        <v>40</v>
      </c>
      <c r="C51" t="s">
        <v>170</v>
      </c>
      <c r="D51" t="s">
        <v>171</v>
      </c>
      <c r="E51" t="s">
        <v>70</v>
      </c>
      <c r="F51" t="s">
        <v>71</v>
      </c>
      <c r="J51" t="s">
        <v>290</v>
      </c>
    </row>
    <row r="52" spans="1:10" x14ac:dyDescent="0.3">
      <c r="A52" t="s">
        <v>39</v>
      </c>
      <c r="B52" t="s">
        <v>40</v>
      </c>
      <c r="C52" t="s">
        <v>172</v>
      </c>
      <c r="D52" t="s">
        <v>173</v>
      </c>
      <c r="E52" t="s">
        <v>70</v>
      </c>
      <c r="F52" t="s">
        <v>71</v>
      </c>
      <c r="J52" t="s">
        <v>290</v>
      </c>
    </row>
    <row r="53" spans="1:10" x14ac:dyDescent="0.3">
      <c r="A53" t="s">
        <v>39</v>
      </c>
      <c r="B53" t="s">
        <v>40</v>
      </c>
      <c r="C53" t="s">
        <v>174</v>
      </c>
      <c r="D53" t="s">
        <v>175</v>
      </c>
      <c r="E53" t="s">
        <v>70</v>
      </c>
      <c r="F53" t="s">
        <v>71</v>
      </c>
      <c r="J53" t="s">
        <v>290</v>
      </c>
    </row>
    <row r="54" spans="1:10" x14ac:dyDescent="0.3">
      <c r="A54" t="s">
        <v>39</v>
      </c>
      <c r="B54" t="s">
        <v>40</v>
      </c>
      <c r="C54" t="s">
        <v>84</v>
      </c>
      <c r="D54" t="s">
        <v>176</v>
      </c>
      <c r="E54" t="s">
        <v>70</v>
      </c>
      <c r="F54" t="s">
        <v>71</v>
      </c>
      <c r="J54" t="s">
        <v>290</v>
      </c>
    </row>
    <row r="55" spans="1:10" x14ac:dyDescent="0.3">
      <c r="A55" t="s">
        <v>39</v>
      </c>
      <c r="B55" t="s">
        <v>40</v>
      </c>
      <c r="C55" t="s">
        <v>177</v>
      </c>
      <c r="D55" t="s">
        <v>178</v>
      </c>
      <c r="E55" t="s">
        <v>70</v>
      </c>
      <c r="F55" t="s">
        <v>179</v>
      </c>
      <c r="J55" t="s">
        <v>289</v>
      </c>
    </row>
    <row r="56" spans="1:10" x14ac:dyDescent="0.3">
      <c r="A56" t="s">
        <v>39</v>
      </c>
      <c r="B56" t="s">
        <v>40</v>
      </c>
      <c r="C56" t="s">
        <v>180</v>
      </c>
      <c r="D56" t="s">
        <v>181</v>
      </c>
      <c r="E56" t="s">
        <v>70</v>
      </c>
      <c r="F56" t="s">
        <v>182</v>
      </c>
      <c r="J56" t="s">
        <v>289</v>
      </c>
    </row>
    <row r="57" spans="1:10" x14ac:dyDescent="0.3">
      <c r="A57" t="s">
        <v>45</v>
      </c>
      <c r="B57" t="s">
        <v>46</v>
      </c>
      <c r="C57" t="s">
        <v>183</v>
      </c>
      <c r="D57" t="s">
        <v>184</v>
      </c>
      <c r="E57" t="s">
        <v>70</v>
      </c>
      <c r="F57" t="s">
        <v>71</v>
      </c>
      <c r="J57" t="s">
        <v>290</v>
      </c>
    </row>
    <row r="58" spans="1:10" x14ac:dyDescent="0.3">
      <c r="A58" t="s">
        <v>45</v>
      </c>
      <c r="B58" t="s">
        <v>46</v>
      </c>
      <c r="C58" t="s">
        <v>185</v>
      </c>
      <c r="D58" t="s">
        <v>186</v>
      </c>
      <c r="E58" t="s">
        <v>70</v>
      </c>
      <c r="F58" t="s">
        <v>71</v>
      </c>
      <c r="J58" t="s">
        <v>290</v>
      </c>
    </row>
    <row r="59" spans="1:10" x14ac:dyDescent="0.3">
      <c r="A59" t="s">
        <v>45</v>
      </c>
      <c r="B59" t="s">
        <v>46</v>
      </c>
      <c r="C59" t="s">
        <v>187</v>
      </c>
      <c r="D59" t="s">
        <v>188</v>
      </c>
      <c r="E59" t="s">
        <v>70</v>
      </c>
      <c r="F59" t="s">
        <v>71</v>
      </c>
      <c r="J59" t="s">
        <v>290</v>
      </c>
    </row>
    <row r="60" spans="1:10" x14ac:dyDescent="0.3">
      <c r="A60" t="s">
        <v>45</v>
      </c>
      <c r="B60" t="s">
        <v>46</v>
      </c>
      <c r="C60" t="s">
        <v>189</v>
      </c>
      <c r="D60" t="s">
        <v>190</v>
      </c>
      <c r="E60" t="s">
        <v>70</v>
      </c>
      <c r="F60" t="s">
        <v>71</v>
      </c>
      <c r="J60" t="s">
        <v>290</v>
      </c>
    </row>
    <row r="61" spans="1:10" x14ac:dyDescent="0.3">
      <c r="A61" t="s">
        <v>45</v>
      </c>
      <c r="B61" t="s">
        <v>46</v>
      </c>
      <c r="C61" t="s">
        <v>191</v>
      </c>
      <c r="D61" t="s">
        <v>192</v>
      </c>
      <c r="E61" t="s">
        <v>70</v>
      </c>
      <c r="F61" t="s">
        <v>71</v>
      </c>
      <c r="J61" t="s">
        <v>290</v>
      </c>
    </row>
    <row r="62" spans="1:10" x14ac:dyDescent="0.3">
      <c r="A62" t="s">
        <v>45</v>
      </c>
      <c r="B62" t="s">
        <v>46</v>
      </c>
      <c r="C62" t="s">
        <v>193</v>
      </c>
      <c r="D62" t="s">
        <v>194</v>
      </c>
      <c r="E62" t="s">
        <v>70</v>
      </c>
      <c r="F62" t="s">
        <v>71</v>
      </c>
      <c r="J62" t="s">
        <v>290</v>
      </c>
    </row>
    <row r="63" spans="1:10" x14ac:dyDescent="0.3">
      <c r="A63" t="s">
        <v>45</v>
      </c>
      <c r="B63" t="s">
        <v>46</v>
      </c>
      <c r="C63" t="s">
        <v>84</v>
      </c>
      <c r="D63" t="s">
        <v>195</v>
      </c>
      <c r="E63" t="s">
        <v>70</v>
      </c>
      <c r="F63" t="s">
        <v>71</v>
      </c>
      <c r="J63" t="s">
        <v>290</v>
      </c>
    </row>
    <row r="64" spans="1:10" x14ac:dyDescent="0.3">
      <c r="A64" t="s">
        <v>51</v>
      </c>
      <c r="B64" t="s">
        <v>52</v>
      </c>
      <c r="C64" t="s">
        <v>107</v>
      </c>
      <c r="D64" t="s">
        <v>196</v>
      </c>
      <c r="E64" t="s">
        <v>70</v>
      </c>
      <c r="F64" t="s">
        <v>71</v>
      </c>
      <c r="J64" t="s">
        <v>290</v>
      </c>
    </row>
    <row r="65" spans="1:10" x14ac:dyDescent="0.3">
      <c r="A65" t="s">
        <v>51</v>
      </c>
      <c r="B65" t="s">
        <v>52</v>
      </c>
      <c r="C65" t="s">
        <v>109</v>
      </c>
      <c r="D65" t="s">
        <v>197</v>
      </c>
      <c r="E65" t="s">
        <v>70</v>
      </c>
      <c r="F65" t="s">
        <v>71</v>
      </c>
      <c r="J65" t="s">
        <v>290</v>
      </c>
    </row>
    <row r="66" spans="1:10" x14ac:dyDescent="0.3">
      <c r="A66" t="s">
        <v>51</v>
      </c>
      <c r="B66" t="s">
        <v>52</v>
      </c>
      <c r="C66" t="s">
        <v>113</v>
      </c>
      <c r="D66" t="s">
        <v>198</v>
      </c>
      <c r="E66" t="s">
        <v>70</v>
      </c>
      <c r="F66" t="s">
        <v>71</v>
      </c>
      <c r="J66" t="s">
        <v>290</v>
      </c>
    </row>
    <row r="67" spans="1:10" x14ac:dyDescent="0.3">
      <c r="A67" t="s">
        <v>51</v>
      </c>
      <c r="B67" t="s">
        <v>52</v>
      </c>
      <c r="C67" t="s">
        <v>84</v>
      </c>
      <c r="D67" t="s">
        <v>199</v>
      </c>
      <c r="E67" t="s">
        <v>70</v>
      </c>
      <c r="F67" t="s">
        <v>71</v>
      </c>
      <c r="J67" t="s">
        <v>290</v>
      </c>
    </row>
    <row r="68" spans="1:10" x14ac:dyDescent="0.3">
      <c r="A68" t="s">
        <v>51</v>
      </c>
      <c r="B68" t="s">
        <v>52</v>
      </c>
      <c r="C68" t="s">
        <v>121</v>
      </c>
      <c r="D68" t="s">
        <v>200</v>
      </c>
      <c r="E68" t="s">
        <v>70</v>
      </c>
      <c r="F68" t="s">
        <v>201</v>
      </c>
      <c r="J68" t="s">
        <v>289</v>
      </c>
    </row>
    <row r="69" spans="1:10" x14ac:dyDescent="0.3">
      <c r="A69" t="s">
        <v>51</v>
      </c>
      <c r="B69" t="s">
        <v>52</v>
      </c>
      <c r="C69" t="s">
        <v>124</v>
      </c>
      <c r="D69" t="s">
        <v>202</v>
      </c>
      <c r="E69" t="s">
        <v>70</v>
      </c>
      <c r="F69" t="s">
        <v>203</v>
      </c>
      <c r="J69" t="s">
        <v>289</v>
      </c>
    </row>
    <row r="70" spans="1:10" x14ac:dyDescent="0.3">
      <c r="A70" t="s">
        <v>55</v>
      </c>
      <c r="B70" t="s">
        <v>56</v>
      </c>
      <c r="C70" t="s">
        <v>68</v>
      </c>
      <c r="D70" t="s">
        <v>204</v>
      </c>
      <c r="E70" t="s">
        <v>70</v>
      </c>
      <c r="F70" t="s">
        <v>71</v>
      </c>
      <c r="J70" t="s">
        <v>290</v>
      </c>
    </row>
    <row r="71" spans="1:10" x14ac:dyDescent="0.3">
      <c r="A71" t="s">
        <v>55</v>
      </c>
      <c r="B71" t="s">
        <v>56</v>
      </c>
      <c r="C71" t="s">
        <v>72</v>
      </c>
      <c r="D71" t="s">
        <v>205</v>
      </c>
      <c r="E71" t="s">
        <v>70</v>
      </c>
      <c r="F71" t="s">
        <v>71</v>
      </c>
      <c r="J71" t="s">
        <v>290</v>
      </c>
    </row>
    <row r="72" spans="1:10" x14ac:dyDescent="0.3">
      <c r="A72" t="s">
        <v>55</v>
      </c>
      <c r="B72" t="s">
        <v>56</v>
      </c>
      <c r="C72" t="s">
        <v>74</v>
      </c>
      <c r="D72" t="s">
        <v>206</v>
      </c>
      <c r="E72" t="s">
        <v>70</v>
      </c>
      <c r="F72" t="s">
        <v>71</v>
      </c>
      <c r="J72" t="s">
        <v>290</v>
      </c>
    </row>
    <row r="73" spans="1:10" x14ac:dyDescent="0.3">
      <c r="A73" t="s">
        <v>55</v>
      </c>
      <c r="B73" t="s">
        <v>56</v>
      </c>
      <c r="C73" t="s">
        <v>76</v>
      </c>
      <c r="D73" t="s">
        <v>207</v>
      </c>
      <c r="E73" t="s">
        <v>70</v>
      </c>
      <c r="F73" t="s">
        <v>71</v>
      </c>
      <c r="J73" t="s">
        <v>290</v>
      </c>
    </row>
    <row r="74" spans="1:10" x14ac:dyDescent="0.3">
      <c r="A74" t="s">
        <v>55</v>
      </c>
      <c r="B74" t="s">
        <v>56</v>
      </c>
      <c r="C74" t="s">
        <v>78</v>
      </c>
      <c r="D74" t="s">
        <v>208</v>
      </c>
      <c r="E74" t="s">
        <v>70</v>
      </c>
      <c r="F74" t="s">
        <v>71</v>
      </c>
      <c r="J74" t="s">
        <v>290</v>
      </c>
    </row>
    <row r="75" spans="1:10" x14ac:dyDescent="0.3">
      <c r="A75" t="s">
        <v>55</v>
      </c>
      <c r="B75" t="s">
        <v>56</v>
      </c>
      <c r="C75" t="s">
        <v>80</v>
      </c>
      <c r="D75" t="s">
        <v>209</v>
      </c>
      <c r="E75" t="s">
        <v>70</v>
      </c>
      <c r="F75" t="s">
        <v>71</v>
      </c>
      <c r="J75" t="s">
        <v>290</v>
      </c>
    </row>
    <row r="76" spans="1:10" x14ac:dyDescent="0.3">
      <c r="A76" t="s">
        <v>55</v>
      </c>
      <c r="B76" t="s">
        <v>56</v>
      </c>
      <c r="C76" t="s">
        <v>82</v>
      </c>
      <c r="D76" t="s">
        <v>210</v>
      </c>
      <c r="E76" t="s">
        <v>70</v>
      </c>
      <c r="F76" t="s">
        <v>71</v>
      </c>
      <c r="J76" t="s">
        <v>290</v>
      </c>
    </row>
    <row r="77" spans="1:10" x14ac:dyDescent="0.3">
      <c r="A77" t="s">
        <v>55</v>
      </c>
      <c r="B77" t="s">
        <v>56</v>
      </c>
      <c r="C77" t="s">
        <v>84</v>
      </c>
      <c r="D77" t="s">
        <v>211</v>
      </c>
      <c r="E77" t="s">
        <v>70</v>
      </c>
      <c r="F77" t="s">
        <v>212</v>
      </c>
      <c r="J77" t="s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213</v>
      </c>
      <c r="D1" s="1" t="s">
        <v>214</v>
      </c>
    </row>
    <row r="2" spans="1:4" x14ac:dyDescent="0.3">
      <c r="A2" t="s">
        <v>6</v>
      </c>
      <c r="B2" t="s">
        <v>7</v>
      </c>
      <c r="C2" t="s">
        <v>68</v>
      </c>
      <c r="D2" t="s">
        <v>215</v>
      </c>
    </row>
    <row r="3" spans="1:4" x14ac:dyDescent="0.3">
      <c r="A3" t="s">
        <v>6</v>
      </c>
      <c r="B3" t="s">
        <v>7</v>
      </c>
      <c r="C3" t="s">
        <v>72</v>
      </c>
      <c r="D3" t="s">
        <v>216</v>
      </c>
    </row>
    <row r="4" spans="1:4" x14ac:dyDescent="0.3">
      <c r="A4" t="s">
        <v>6</v>
      </c>
      <c r="B4" t="s">
        <v>7</v>
      </c>
      <c r="C4" t="s">
        <v>76</v>
      </c>
      <c r="D4" t="s">
        <v>217</v>
      </c>
    </row>
    <row r="5" spans="1:4" x14ac:dyDescent="0.3">
      <c r="A5" t="s">
        <v>6</v>
      </c>
      <c r="B5" t="s">
        <v>7</v>
      </c>
      <c r="C5" t="s">
        <v>82</v>
      </c>
      <c r="D5" t="s">
        <v>218</v>
      </c>
    </row>
    <row r="6" spans="1:4" x14ac:dyDescent="0.3">
      <c r="A6" t="s">
        <v>6</v>
      </c>
      <c r="B6" t="s">
        <v>7</v>
      </c>
      <c r="C6" t="s">
        <v>74</v>
      </c>
      <c r="D6" t="s">
        <v>219</v>
      </c>
    </row>
    <row r="7" spans="1:4" x14ac:dyDescent="0.3">
      <c r="A7" t="s">
        <v>6</v>
      </c>
      <c r="B7" t="s">
        <v>7</v>
      </c>
      <c r="C7" t="s">
        <v>78</v>
      </c>
      <c r="D7" t="s">
        <v>220</v>
      </c>
    </row>
    <row r="8" spans="1:4" x14ac:dyDescent="0.3">
      <c r="A8" t="s">
        <v>6</v>
      </c>
      <c r="B8" t="s">
        <v>7</v>
      </c>
      <c r="C8" t="s">
        <v>80</v>
      </c>
      <c r="D8" t="s">
        <v>221</v>
      </c>
    </row>
    <row r="9" spans="1:4" x14ac:dyDescent="0.3">
      <c r="A9" t="s">
        <v>6</v>
      </c>
      <c r="B9" t="s">
        <v>7</v>
      </c>
      <c r="C9" t="s">
        <v>84</v>
      </c>
      <c r="D9" t="s">
        <v>222</v>
      </c>
    </row>
    <row r="10" spans="1:4" x14ac:dyDescent="0.3">
      <c r="A10" t="s">
        <v>13</v>
      </c>
      <c r="B10" t="s">
        <v>14</v>
      </c>
      <c r="C10" t="s">
        <v>101</v>
      </c>
      <c r="D10" t="s">
        <v>223</v>
      </c>
    </row>
    <row r="11" spans="1:4" x14ac:dyDescent="0.3">
      <c r="A11" t="s">
        <v>13</v>
      </c>
      <c r="B11" t="s">
        <v>14</v>
      </c>
      <c r="C11" t="s">
        <v>87</v>
      </c>
      <c r="D11" t="s">
        <v>224</v>
      </c>
    </row>
    <row r="12" spans="1:4" x14ac:dyDescent="0.3">
      <c r="A12" t="s">
        <v>13</v>
      </c>
      <c r="B12" t="s">
        <v>14</v>
      </c>
      <c r="C12" t="s">
        <v>89</v>
      </c>
      <c r="D12" t="s">
        <v>225</v>
      </c>
    </row>
    <row r="13" spans="1:4" x14ac:dyDescent="0.3">
      <c r="A13" t="s">
        <v>13</v>
      </c>
      <c r="B13" t="s">
        <v>14</v>
      </c>
      <c r="C13" t="s">
        <v>91</v>
      </c>
      <c r="D13" t="s">
        <v>226</v>
      </c>
    </row>
    <row r="14" spans="1:4" x14ac:dyDescent="0.3">
      <c r="A14" t="s">
        <v>13</v>
      </c>
      <c r="B14" t="s">
        <v>14</v>
      </c>
      <c r="C14" t="s">
        <v>93</v>
      </c>
      <c r="D14" t="s">
        <v>227</v>
      </c>
    </row>
    <row r="15" spans="1:4" x14ac:dyDescent="0.3">
      <c r="A15" t="s">
        <v>13</v>
      </c>
      <c r="B15" t="s">
        <v>14</v>
      </c>
      <c r="C15" t="s">
        <v>95</v>
      </c>
      <c r="D15" t="s">
        <v>228</v>
      </c>
    </row>
    <row r="16" spans="1:4" x14ac:dyDescent="0.3">
      <c r="A16" t="s">
        <v>13</v>
      </c>
      <c r="B16" t="s">
        <v>14</v>
      </c>
      <c r="C16" t="s">
        <v>97</v>
      </c>
      <c r="D16" t="s">
        <v>229</v>
      </c>
    </row>
    <row r="17" spans="1:4" x14ac:dyDescent="0.3">
      <c r="A17" t="s">
        <v>13</v>
      </c>
      <c r="B17" t="s">
        <v>14</v>
      </c>
      <c r="C17" t="s">
        <v>99</v>
      </c>
      <c r="D17" t="s">
        <v>230</v>
      </c>
    </row>
    <row r="18" spans="1:4" x14ac:dyDescent="0.3">
      <c r="A18" t="s">
        <v>13</v>
      </c>
      <c r="B18" t="s">
        <v>14</v>
      </c>
      <c r="C18" t="s">
        <v>104</v>
      </c>
      <c r="D18" t="s">
        <v>231</v>
      </c>
    </row>
    <row r="19" spans="1:4" x14ac:dyDescent="0.3">
      <c r="A19" t="s">
        <v>13</v>
      </c>
      <c r="B19" t="s">
        <v>14</v>
      </c>
      <c r="C19" t="s">
        <v>84</v>
      </c>
      <c r="D19" t="s">
        <v>232</v>
      </c>
    </row>
    <row r="20" spans="1:4" x14ac:dyDescent="0.3">
      <c r="A20" t="s">
        <v>19</v>
      </c>
      <c r="B20" t="s">
        <v>20</v>
      </c>
      <c r="C20" t="s">
        <v>124</v>
      </c>
      <c r="D20" t="s">
        <v>233</v>
      </c>
    </row>
    <row r="21" spans="1:4" x14ac:dyDescent="0.3">
      <c r="A21" t="s">
        <v>19</v>
      </c>
      <c r="B21" t="s">
        <v>20</v>
      </c>
      <c r="C21" t="s">
        <v>121</v>
      </c>
      <c r="D21" t="s">
        <v>234</v>
      </c>
    </row>
    <row r="22" spans="1:4" x14ac:dyDescent="0.3">
      <c r="A22" t="s">
        <v>19</v>
      </c>
      <c r="B22" t="s">
        <v>20</v>
      </c>
      <c r="C22" t="s">
        <v>107</v>
      </c>
      <c r="D22" t="s">
        <v>235</v>
      </c>
    </row>
    <row r="23" spans="1:4" x14ac:dyDescent="0.3">
      <c r="A23" t="s">
        <v>19</v>
      </c>
      <c r="B23" t="s">
        <v>20</v>
      </c>
      <c r="C23" t="s">
        <v>109</v>
      </c>
      <c r="D23" t="s">
        <v>236</v>
      </c>
    </row>
    <row r="24" spans="1:4" x14ac:dyDescent="0.3">
      <c r="A24" t="s">
        <v>19</v>
      </c>
      <c r="B24" t="s">
        <v>20</v>
      </c>
      <c r="C24" t="s">
        <v>113</v>
      </c>
      <c r="D24" t="s">
        <v>237</v>
      </c>
    </row>
    <row r="25" spans="1:4" x14ac:dyDescent="0.3">
      <c r="A25" t="s">
        <v>19</v>
      </c>
      <c r="B25" t="s">
        <v>20</v>
      </c>
      <c r="C25" t="s">
        <v>74</v>
      </c>
      <c r="D25" t="s">
        <v>219</v>
      </c>
    </row>
    <row r="26" spans="1:4" x14ac:dyDescent="0.3">
      <c r="A26" t="s">
        <v>19</v>
      </c>
      <c r="B26" t="s">
        <v>20</v>
      </c>
      <c r="C26" t="s">
        <v>116</v>
      </c>
      <c r="D26" t="s">
        <v>238</v>
      </c>
    </row>
    <row r="27" spans="1:4" x14ac:dyDescent="0.3">
      <c r="A27" t="s">
        <v>19</v>
      </c>
      <c r="B27" t="s">
        <v>20</v>
      </c>
      <c r="C27" t="s">
        <v>118</v>
      </c>
      <c r="D27" t="s">
        <v>239</v>
      </c>
    </row>
    <row r="28" spans="1:4" x14ac:dyDescent="0.3">
      <c r="A28" t="s">
        <v>19</v>
      </c>
      <c r="B28" t="s">
        <v>20</v>
      </c>
      <c r="C28" t="s">
        <v>111</v>
      </c>
      <c r="D28" t="s">
        <v>240</v>
      </c>
    </row>
    <row r="29" spans="1:4" x14ac:dyDescent="0.3">
      <c r="A29" t="s">
        <v>19</v>
      </c>
      <c r="B29" t="s">
        <v>20</v>
      </c>
      <c r="C29" t="s">
        <v>84</v>
      </c>
      <c r="D29" t="s">
        <v>241</v>
      </c>
    </row>
    <row r="30" spans="1:4" x14ac:dyDescent="0.3">
      <c r="A30" t="s">
        <v>25</v>
      </c>
      <c r="B30" t="s">
        <v>26</v>
      </c>
      <c r="C30" t="s">
        <v>152</v>
      </c>
      <c r="D30" t="s">
        <v>242</v>
      </c>
    </row>
    <row r="31" spans="1:4" x14ac:dyDescent="0.3">
      <c r="A31" t="s">
        <v>25</v>
      </c>
      <c r="B31" t="s">
        <v>26</v>
      </c>
      <c r="C31" t="s">
        <v>155</v>
      </c>
      <c r="D31" t="s">
        <v>243</v>
      </c>
    </row>
    <row r="32" spans="1:4" x14ac:dyDescent="0.3">
      <c r="A32" t="s">
        <v>25</v>
      </c>
      <c r="B32" t="s">
        <v>26</v>
      </c>
      <c r="C32" t="s">
        <v>130</v>
      </c>
      <c r="D32" t="s">
        <v>244</v>
      </c>
    </row>
    <row r="33" spans="1:4" x14ac:dyDescent="0.3">
      <c r="A33" t="s">
        <v>25</v>
      </c>
      <c r="B33" t="s">
        <v>26</v>
      </c>
      <c r="C33" t="s">
        <v>132</v>
      </c>
      <c r="D33" t="s">
        <v>245</v>
      </c>
    </row>
    <row r="34" spans="1:4" x14ac:dyDescent="0.3">
      <c r="A34" t="s">
        <v>25</v>
      </c>
      <c r="B34" t="s">
        <v>26</v>
      </c>
      <c r="C34" t="s">
        <v>134</v>
      </c>
      <c r="D34" t="s">
        <v>246</v>
      </c>
    </row>
    <row r="35" spans="1:4" x14ac:dyDescent="0.3">
      <c r="A35" t="s">
        <v>25</v>
      </c>
      <c r="B35" t="s">
        <v>26</v>
      </c>
      <c r="C35" t="s">
        <v>136</v>
      </c>
      <c r="D35" t="s">
        <v>247</v>
      </c>
    </row>
    <row r="36" spans="1:4" x14ac:dyDescent="0.3">
      <c r="A36" t="s">
        <v>25</v>
      </c>
      <c r="B36" t="s">
        <v>26</v>
      </c>
      <c r="C36" t="s">
        <v>138</v>
      </c>
      <c r="D36" t="s">
        <v>248</v>
      </c>
    </row>
    <row r="37" spans="1:4" x14ac:dyDescent="0.3">
      <c r="A37" t="s">
        <v>25</v>
      </c>
      <c r="B37" t="s">
        <v>26</v>
      </c>
      <c r="C37" t="s">
        <v>140</v>
      </c>
      <c r="D37" t="s">
        <v>249</v>
      </c>
    </row>
    <row r="38" spans="1:4" x14ac:dyDescent="0.3">
      <c r="A38" t="s">
        <v>25</v>
      </c>
      <c r="B38" t="s">
        <v>26</v>
      </c>
      <c r="C38" t="s">
        <v>82</v>
      </c>
      <c r="D38" t="s">
        <v>250</v>
      </c>
    </row>
    <row r="39" spans="1:4" x14ac:dyDescent="0.3">
      <c r="A39" t="s">
        <v>25</v>
      </c>
      <c r="B39" t="s">
        <v>26</v>
      </c>
      <c r="C39" t="s">
        <v>143</v>
      </c>
      <c r="D39" t="s">
        <v>251</v>
      </c>
    </row>
    <row r="40" spans="1:4" x14ac:dyDescent="0.3">
      <c r="A40" t="s">
        <v>25</v>
      </c>
      <c r="B40" t="s">
        <v>26</v>
      </c>
      <c r="C40" t="s">
        <v>145</v>
      </c>
      <c r="D40" t="s">
        <v>252</v>
      </c>
    </row>
    <row r="41" spans="1:4" x14ac:dyDescent="0.3">
      <c r="A41" t="s">
        <v>25</v>
      </c>
      <c r="B41" t="s">
        <v>26</v>
      </c>
      <c r="C41" t="s">
        <v>147</v>
      </c>
      <c r="D41" t="s">
        <v>253</v>
      </c>
    </row>
    <row r="42" spans="1:4" x14ac:dyDescent="0.3">
      <c r="A42" t="s">
        <v>25</v>
      </c>
      <c r="B42" t="s">
        <v>26</v>
      </c>
      <c r="C42" t="s">
        <v>149</v>
      </c>
      <c r="D42" t="s">
        <v>254</v>
      </c>
    </row>
    <row r="43" spans="1:4" x14ac:dyDescent="0.3">
      <c r="A43" t="s">
        <v>25</v>
      </c>
      <c r="B43" t="s">
        <v>26</v>
      </c>
      <c r="C43" t="s">
        <v>84</v>
      </c>
      <c r="D43" t="s">
        <v>255</v>
      </c>
    </row>
    <row r="44" spans="1:4" x14ac:dyDescent="0.3">
      <c r="A44" t="s">
        <v>31</v>
      </c>
      <c r="B44" t="s">
        <v>32</v>
      </c>
      <c r="C44" t="s">
        <v>158</v>
      </c>
      <c r="D44" t="s">
        <v>256</v>
      </c>
    </row>
    <row r="45" spans="1:4" x14ac:dyDescent="0.3">
      <c r="A45" t="s">
        <v>31</v>
      </c>
      <c r="B45" t="s">
        <v>32</v>
      </c>
      <c r="C45" t="s">
        <v>160</v>
      </c>
      <c r="D45" t="s">
        <v>257</v>
      </c>
    </row>
    <row r="46" spans="1:4" x14ac:dyDescent="0.3">
      <c r="A46" t="s">
        <v>31</v>
      </c>
      <c r="B46" t="s">
        <v>32</v>
      </c>
      <c r="C46" t="s">
        <v>84</v>
      </c>
      <c r="D46" t="s">
        <v>258</v>
      </c>
    </row>
    <row r="47" spans="1:4" x14ac:dyDescent="0.3">
      <c r="A47" t="s">
        <v>37</v>
      </c>
      <c r="B47" t="s">
        <v>38</v>
      </c>
      <c r="C47" t="s">
        <v>164</v>
      </c>
      <c r="D47" t="s">
        <v>259</v>
      </c>
    </row>
    <row r="48" spans="1:4" x14ac:dyDescent="0.3">
      <c r="A48" t="s">
        <v>37</v>
      </c>
      <c r="B48" t="s">
        <v>38</v>
      </c>
      <c r="C48" t="s">
        <v>84</v>
      </c>
      <c r="D48" t="s">
        <v>260</v>
      </c>
    </row>
    <row r="49" spans="1:4" x14ac:dyDescent="0.3">
      <c r="A49" t="s">
        <v>39</v>
      </c>
      <c r="B49" t="s">
        <v>40</v>
      </c>
      <c r="C49" t="s">
        <v>261</v>
      </c>
    </row>
    <row r="50" spans="1:4" x14ac:dyDescent="0.3">
      <c r="A50" t="s">
        <v>39</v>
      </c>
      <c r="B50" t="s">
        <v>40</v>
      </c>
      <c r="C50" t="s">
        <v>261</v>
      </c>
    </row>
    <row r="51" spans="1:4" x14ac:dyDescent="0.3">
      <c r="A51" t="s">
        <v>39</v>
      </c>
      <c r="B51" t="s">
        <v>40</v>
      </c>
      <c r="C51" t="s">
        <v>168</v>
      </c>
      <c r="D51" t="s">
        <v>262</v>
      </c>
    </row>
    <row r="52" spans="1:4" x14ac:dyDescent="0.3">
      <c r="A52" t="s">
        <v>39</v>
      </c>
      <c r="B52" t="s">
        <v>40</v>
      </c>
      <c r="C52" t="s">
        <v>172</v>
      </c>
      <c r="D52" t="s">
        <v>263</v>
      </c>
    </row>
    <row r="53" spans="1:4" x14ac:dyDescent="0.3">
      <c r="A53" t="s">
        <v>39</v>
      </c>
      <c r="B53" t="s">
        <v>40</v>
      </c>
      <c r="C53" t="s">
        <v>174</v>
      </c>
      <c r="D53" t="s">
        <v>264</v>
      </c>
    </row>
    <row r="54" spans="1:4" x14ac:dyDescent="0.3">
      <c r="A54" t="s">
        <v>39</v>
      </c>
      <c r="B54" t="s">
        <v>40</v>
      </c>
      <c r="C54" t="s">
        <v>170</v>
      </c>
      <c r="D54" t="s">
        <v>265</v>
      </c>
    </row>
    <row r="55" spans="1:4" x14ac:dyDescent="0.3">
      <c r="A55" t="s">
        <v>39</v>
      </c>
      <c r="B55" t="s">
        <v>40</v>
      </c>
      <c r="C55" t="s">
        <v>84</v>
      </c>
      <c r="D55" t="s">
        <v>266</v>
      </c>
    </row>
    <row r="56" spans="1:4" x14ac:dyDescent="0.3">
      <c r="A56" t="s">
        <v>45</v>
      </c>
      <c r="B56" t="s">
        <v>46</v>
      </c>
      <c r="C56" t="s">
        <v>183</v>
      </c>
      <c r="D56" t="s">
        <v>267</v>
      </c>
    </row>
    <row r="57" spans="1:4" x14ac:dyDescent="0.3">
      <c r="A57" t="s">
        <v>45</v>
      </c>
      <c r="B57" t="s">
        <v>46</v>
      </c>
      <c r="C57" t="s">
        <v>185</v>
      </c>
      <c r="D57" t="s">
        <v>268</v>
      </c>
    </row>
    <row r="58" spans="1:4" x14ac:dyDescent="0.3">
      <c r="A58" t="s">
        <v>45</v>
      </c>
      <c r="B58" t="s">
        <v>46</v>
      </c>
      <c r="C58" t="s">
        <v>187</v>
      </c>
      <c r="D58" t="s">
        <v>269</v>
      </c>
    </row>
    <row r="59" spans="1:4" x14ac:dyDescent="0.3">
      <c r="A59" t="s">
        <v>45</v>
      </c>
      <c r="B59" t="s">
        <v>46</v>
      </c>
      <c r="C59" t="s">
        <v>189</v>
      </c>
      <c r="D59" t="s">
        <v>270</v>
      </c>
    </row>
    <row r="60" spans="1:4" x14ac:dyDescent="0.3">
      <c r="A60" t="s">
        <v>45</v>
      </c>
      <c r="B60" t="s">
        <v>46</v>
      </c>
      <c r="C60" t="s">
        <v>191</v>
      </c>
      <c r="D60" t="s">
        <v>271</v>
      </c>
    </row>
    <row r="61" spans="1:4" x14ac:dyDescent="0.3">
      <c r="A61" t="s">
        <v>45</v>
      </c>
      <c r="B61" t="s">
        <v>46</v>
      </c>
      <c r="C61" t="s">
        <v>193</v>
      </c>
      <c r="D61" t="s">
        <v>272</v>
      </c>
    </row>
    <row r="62" spans="1:4" x14ac:dyDescent="0.3">
      <c r="A62" t="s">
        <v>45</v>
      </c>
      <c r="B62" t="s">
        <v>46</v>
      </c>
      <c r="C62" t="s">
        <v>84</v>
      </c>
      <c r="D62" t="s">
        <v>273</v>
      </c>
    </row>
    <row r="63" spans="1:4" x14ac:dyDescent="0.3">
      <c r="A63" t="s">
        <v>51</v>
      </c>
      <c r="B63" t="s">
        <v>52</v>
      </c>
      <c r="C63" t="s">
        <v>124</v>
      </c>
      <c r="D63" t="s">
        <v>274</v>
      </c>
    </row>
    <row r="64" spans="1:4" x14ac:dyDescent="0.3">
      <c r="A64" t="s">
        <v>51</v>
      </c>
      <c r="B64" t="s">
        <v>52</v>
      </c>
      <c r="C64" t="s">
        <v>121</v>
      </c>
      <c r="D64" t="s">
        <v>275</v>
      </c>
    </row>
    <row r="65" spans="1:4" x14ac:dyDescent="0.3">
      <c r="A65" t="s">
        <v>51</v>
      </c>
      <c r="B65" t="s">
        <v>52</v>
      </c>
      <c r="C65" t="s">
        <v>107</v>
      </c>
      <c r="D65" t="s">
        <v>276</v>
      </c>
    </row>
    <row r="66" spans="1:4" x14ac:dyDescent="0.3">
      <c r="A66" t="s">
        <v>51</v>
      </c>
      <c r="B66" t="s">
        <v>52</v>
      </c>
      <c r="C66" t="s">
        <v>109</v>
      </c>
      <c r="D66" t="s">
        <v>277</v>
      </c>
    </row>
    <row r="67" spans="1:4" x14ac:dyDescent="0.3">
      <c r="A67" t="s">
        <v>51</v>
      </c>
      <c r="B67" t="s">
        <v>52</v>
      </c>
      <c r="C67" t="s">
        <v>113</v>
      </c>
      <c r="D67" t="s">
        <v>278</v>
      </c>
    </row>
    <row r="68" spans="1:4" x14ac:dyDescent="0.3">
      <c r="A68" t="s">
        <v>51</v>
      </c>
      <c r="B68" t="s">
        <v>52</v>
      </c>
      <c r="C68" t="s">
        <v>84</v>
      </c>
      <c r="D68" t="s">
        <v>279</v>
      </c>
    </row>
    <row r="69" spans="1:4" x14ac:dyDescent="0.3">
      <c r="A69" t="s">
        <v>55</v>
      </c>
      <c r="B69" t="s">
        <v>56</v>
      </c>
      <c r="C69" t="s">
        <v>68</v>
      </c>
      <c r="D69" t="s">
        <v>280</v>
      </c>
    </row>
    <row r="70" spans="1:4" x14ac:dyDescent="0.3">
      <c r="A70" t="s">
        <v>55</v>
      </c>
      <c r="B70" t="s">
        <v>56</v>
      </c>
      <c r="C70" t="s">
        <v>72</v>
      </c>
      <c r="D70" t="s">
        <v>281</v>
      </c>
    </row>
    <row r="71" spans="1:4" x14ac:dyDescent="0.3">
      <c r="A71" t="s">
        <v>55</v>
      </c>
      <c r="B71" t="s">
        <v>56</v>
      </c>
      <c r="C71" t="s">
        <v>76</v>
      </c>
      <c r="D71" t="s">
        <v>282</v>
      </c>
    </row>
    <row r="72" spans="1:4" x14ac:dyDescent="0.3">
      <c r="A72" t="s">
        <v>55</v>
      </c>
      <c r="B72" t="s">
        <v>56</v>
      </c>
      <c r="C72" t="s">
        <v>82</v>
      </c>
      <c r="D72" t="s">
        <v>218</v>
      </c>
    </row>
    <row r="73" spans="1:4" x14ac:dyDescent="0.3">
      <c r="A73" t="s">
        <v>55</v>
      </c>
      <c r="B73" t="s">
        <v>56</v>
      </c>
      <c r="C73" t="s">
        <v>74</v>
      </c>
      <c r="D73" t="s">
        <v>219</v>
      </c>
    </row>
    <row r="74" spans="1:4" x14ac:dyDescent="0.3">
      <c r="A74" t="s">
        <v>55</v>
      </c>
      <c r="B74" t="s">
        <v>56</v>
      </c>
      <c r="C74" t="s">
        <v>78</v>
      </c>
      <c r="D74" t="s">
        <v>220</v>
      </c>
    </row>
    <row r="75" spans="1:4" x14ac:dyDescent="0.3">
      <c r="A75" t="s">
        <v>55</v>
      </c>
      <c r="B75" t="s">
        <v>56</v>
      </c>
      <c r="C75" t="s">
        <v>80</v>
      </c>
      <c r="D75" t="s">
        <v>221</v>
      </c>
    </row>
    <row r="76" spans="1:4" x14ac:dyDescent="0.3">
      <c r="A76" t="s">
        <v>55</v>
      </c>
      <c r="B76" t="s">
        <v>56</v>
      </c>
      <c r="C76" t="s">
        <v>84</v>
      </c>
      <c r="D76" t="s">
        <v>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284</v>
      </c>
      <c r="D1" s="1" t="s">
        <v>285</v>
      </c>
    </row>
    <row r="2" spans="1:4" x14ac:dyDescent="0.3">
      <c r="A2" t="s">
        <v>6</v>
      </c>
      <c r="B2" t="s">
        <v>7</v>
      </c>
      <c r="D2" t="s">
        <v>286</v>
      </c>
    </row>
    <row r="3" spans="1:4" x14ac:dyDescent="0.3">
      <c r="A3" t="s">
        <v>13</v>
      </c>
      <c r="B3" t="s">
        <v>14</v>
      </c>
      <c r="D3" t="s">
        <v>286</v>
      </c>
    </row>
    <row r="4" spans="1:4" x14ac:dyDescent="0.3">
      <c r="A4" t="s">
        <v>19</v>
      </c>
      <c r="B4" t="s">
        <v>20</v>
      </c>
      <c r="D4" t="s">
        <v>286</v>
      </c>
    </row>
    <row r="5" spans="1:4" x14ac:dyDescent="0.3">
      <c r="A5" t="s">
        <v>25</v>
      </c>
      <c r="B5" t="s">
        <v>26</v>
      </c>
      <c r="D5" t="s">
        <v>286</v>
      </c>
    </row>
    <row r="6" spans="1:4" x14ac:dyDescent="0.3">
      <c r="A6" t="s">
        <v>31</v>
      </c>
      <c r="B6" t="s">
        <v>32</v>
      </c>
      <c r="D6" t="s">
        <v>286</v>
      </c>
    </row>
    <row r="7" spans="1:4" x14ac:dyDescent="0.3">
      <c r="A7" t="s">
        <v>37</v>
      </c>
      <c r="B7" t="s">
        <v>38</v>
      </c>
      <c r="D7" t="s">
        <v>286</v>
      </c>
    </row>
    <row r="8" spans="1:4" x14ac:dyDescent="0.3">
      <c r="A8" t="s">
        <v>39</v>
      </c>
      <c r="B8" t="s">
        <v>40</v>
      </c>
      <c r="D8" t="s">
        <v>286</v>
      </c>
    </row>
    <row r="9" spans="1:4" x14ac:dyDescent="0.3">
      <c r="A9" t="s">
        <v>45</v>
      </c>
      <c r="B9" t="s">
        <v>46</v>
      </c>
      <c r="D9" t="s">
        <v>286</v>
      </c>
    </row>
    <row r="10" spans="1:4" x14ac:dyDescent="0.3">
      <c r="A10" t="s">
        <v>51</v>
      </c>
      <c r="B10" t="s">
        <v>52</v>
      </c>
      <c r="D10" t="s">
        <v>286</v>
      </c>
    </row>
    <row r="11" spans="1:4" x14ac:dyDescent="0.3">
      <c r="A11" t="s">
        <v>55</v>
      </c>
      <c r="B11" t="s">
        <v>56</v>
      </c>
      <c r="D11" t="s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287</v>
      </c>
      <c r="D1" s="1" t="s">
        <v>288</v>
      </c>
    </row>
    <row r="2" spans="1:4" x14ac:dyDescent="0.3">
      <c r="A2" t="s">
        <v>6</v>
      </c>
      <c r="B2" t="s">
        <v>7</v>
      </c>
      <c r="C2">
        <v>201</v>
      </c>
      <c r="D2">
        <v>2.6492799981497232E-2</v>
      </c>
    </row>
    <row r="3" spans="1:4" x14ac:dyDescent="0.3">
      <c r="A3" t="s">
        <v>13</v>
      </c>
      <c r="B3" t="s">
        <v>14</v>
      </c>
      <c r="C3">
        <v>199</v>
      </c>
      <c r="D3">
        <v>2.187099982984364E-2</v>
      </c>
    </row>
    <row r="4" spans="1:4" x14ac:dyDescent="0.3">
      <c r="A4" t="s">
        <v>19</v>
      </c>
      <c r="B4" t="s">
        <v>20</v>
      </c>
      <c r="C4">
        <v>329</v>
      </c>
      <c r="D4">
        <v>2.9792100074701011E-2</v>
      </c>
    </row>
    <row r="5" spans="1:4" x14ac:dyDescent="0.3">
      <c r="A5" t="s">
        <v>25</v>
      </c>
      <c r="B5" t="s">
        <v>26</v>
      </c>
      <c r="C5">
        <v>283</v>
      </c>
      <c r="D5">
        <v>3.1399799976497889E-2</v>
      </c>
    </row>
    <row r="6" spans="1:4" x14ac:dyDescent="0.3">
      <c r="A6" t="s">
        <v>31</v>
      </c>
      <c r="B6" t="s">
        <v>32</v>
      </c>
      <c r="C6">
        <v>121</v>
      </c>
      <c r="D6">
        <v>1.5552400145679711E-2</v>
      </c>
    </row>
    <row r="7" spans="1:4" x14ac:dyDescent="0.3">
      <c r="A7" t="s">
        <v>37</v>
      </c>
      <c r="B7" t="s">
        <v>38</v>
      </c>
      <c r="C7">
        <v>144</v>
      </c>
      <c r="D7">
        <v>1.8080599955283109E-2</v>
      </c>
    </row>
    <row r="8" spans="1:4" x14ac:dyDescent="0.3">
      <c r="A8" t="s">
        <v>39</v>
      </c>
      <c r="B8" t="s">
        <v>40</v>
      </c>
      <c r="C8">
        <v>245</v>
      </c>
      <c r="D8">
        <v>2.469869994092733E-2</v>
      </c>
    </row>
    <row r="9" spans="1:4" x14ac:dyDescent="0.3">
      <c r="A9" t="s">
        <v>45</v>
      </c>
      <c r="B9" t="s">
        <v>46</v>
      </c>
      <c r="C9">
        <v>509</v>
      </c>
      <c r="D9">
        <v>3.255080000963062E-2</v>
      </c>
    </row>
    <row r="10" spans="1:4" x14ac:dyDescent="0.3">
      <c r="A10" t="s">
        <v>51</v>
      </c>
      <c r="B10" t="s">
        <v>52</v>
      </c>
      <c r="C10">
        <v>240</v>
      </c>
      <c r="D10">
        <v>4.0237899869680398E-2</v>
      </c>
    </row>
    <row r="11" spans="1:4" x14ac:dyDescent="0.3">
      <c r="A11" t="s">
        <v>55</v>
      </c>
      <c r="B11" t="s">
        <v>56</v>
      </c>
      <c r="C11">
        <v>210</v>
      </c>
      <c r="D11">
        <v>4.9643300124444067E-2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2025-12-11T18:03:05Z</dcterms:modified>
</cp:coreProperties>
</file>