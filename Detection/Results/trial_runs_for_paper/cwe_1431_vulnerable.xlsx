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4A96CD91-52A3-4688-818C-F4F1542C9CBA}" xr6:coauthVersionLast="47" xr6:coauthVersionMax="47" xr10:uidLastSave="{00000000-0000-0000-0000-000000000000}"/>
  <bookViews>
    <workbookView xWindow="19110" yWindow="-16320" windowWidth="29040" windowHeight="15720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4"/>
</calcChain>
</file>

<file path=xl/sharedStrings.xml><?xml version="1.0" encoding="utf-8"?>
<sst xmlns="http://schemas.openxmlformats.org/spreadsheetml/2006/main" count="370" uniqueCount="89">
  <si>
    <t>File Name</t>
  </si>
  <si>
    <t>Module Name</t>
  </si>
  <si>
    <t>Case Number</t>
  </si>
  <si>
    <t>State Coverage</t>
  </si>
  <si>
    <t>Unreachable States</t>
  </si>
  <si>
    <t>Deadlocks</t>
  </si>
  <si>
    <t>CWE_1431_example_10_vulnerable_parsed.json</t>
  </si>
  <si>
    <t>aes_192</t>
  </si>
  <si>
    <t>Secure: Default state covers rest of possible values</t>
  </si>
  <si>
    <t>Vulnerable: [1, 2, 3, 4, 5, 6, 7, 8, 9, 10, 11, 12] state(s) not reachable</t>
  </si>
  <si>
    <t>Vulnerable: Possible deadlock(s) in [2, 4, 6, 8, 10, 12, 'default'] state(s)</t>
  </si>
  <si>
    <t>expand_key_type_A_192</t>
  </si>
  <si>
    <t>No case statements found</t>
  </si>
  <si>
    <t>expand_key_type_B_192</t>
  </si>
  <si>
    <t>expand_key_type_C_192</t>
  </si>
  <si>
    <t>expand_key_type_D_192</t>
  </si>
  <si>
    <t>CWE_1431_example_1_vulnerable_parsed.json</t>
  </si>
  <si>
    <t>crypto_core_with_leakage</t>
  </si>
  <si>
    <t>Inconclusive: ['total_rounds'] state(s) may not be reachable, but state variable is mapped to crypto_algo_round; transitions may be externally controlled and not visible in this scope</t>
  </si>
  <si>
    <t>Inconclusive: Possible deadlock(s) in ['default'] state(s), but state variable is mapped to crypto_algo_round; transitions may be externally controlled and not visible in this scope</t>
  </si>
  <si>
    <t>CWE_1431_example_2_vulnerable_parsed.json</t>
  </si>
  <si>
    <t>otp_ctrl_scrmbl</t>
  </si>
  <si>
    <t>CWE_1431_example_3_vulnerable_parsed.json</t>
  </si>
  <si>
    <t>aes1_core</t>
  </si>
  <si>
    <t>Secure: All states reachable</t>
  </si>
  <si>
    <t>Vulnerable: Possible deadlock(s) in ['default'] state(s)</t>
  </si>
  <si>
    <t>CWE_1431_example_4_vulnerable_parsed.json</t>
  </si>
  <si>
    <t>sha256</t>
  </si>
  <si>
    <t>Secure: Defined states cover all possible values</t>
  </si>
  <si>
    <t>Vulnerable: Possible deadlock(s) in ['CTRL_IGNORE'] state(s)</t>
  </si>
  <si>
    <t>CWE_1431_example_5_vulnerable_parsed.json</t>
  </si>
  <si>
    <t>hmac</t>
  </si>
  <si>
    <t>Secure: No deadlocks detected</t>
  </si>
  <si>
    <t>CWE_1431_example_6_vulnerable_parsed.json</t>
  </si>
  <si>
    <t>aes_1cc</t>
  </si>
  <si>
    <t>CWE_1431_example_7_vulnerable_parsed.json</t>
  </si>
  <si>
    <t>chacha_core</t>
  </si>
  <si>
    <t>Vulnerable: ['QR1'] state(s) not reachable</t>
  </si>
  <si>
    <t>Vulnerable: Possible deadlock(s) in ['QR0'] state(s)</t>
  </si>
  <si>
    <t>CWE_1431_example_8_vulnerable_parsed.json</t>
  </si>
  <si>
    <t>md5</t>
  </si>
  <si>
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</si>
  <si>
    <t>Vulnerable: Possible deadlock(s) in [1, 3, 5, 7, 9, 11, 13, 15, 17, 19, 21, 23, 25, 27, 29, 31, 33, 35, 37, 39, 41, 43, 45, 47, 49, 51, 53, 55, 57, 59, 61, 63] state(s)</t>
  </si>
  <si>
    <t>Vulnerable: Not all possible values covered</t>
  </si>
  <si>
    <t>Vulnerable: [1, 2, 3] state(s) not reachable</t>
  </si>
  <si>
    <t>Vulnerable: Possible deadlock(s) in [0, 2] state(s)</t>
  </si>
  <si>
    <t>Vulnerable: [15, 31, 47, 63] state(s) not reachable</t>
  </si>
  <si>
    <t>Vulnerable: Possible deadlock(s) in [0, 31, 63, 'default'] state(s)</t>
  </si>
  <si>
    <t>Vulnerable: Possible deadlock(s) in [4] state(s)</t>
  </si>
  <si>
    <t>CWE_1431_example_9_vulnerable_parsed.json</t>
  </si>
  <si>
    <t>keccak</t>
  </si>
  <si>
    <t>Total</t>
  </si>
  <si>
    <t>{'Secure': 9, 'Vulnerable': 2, 'Inconclusive': 0}</t>
  </si>
  <si>
    <t>{'Secure': 5, 'Vulnerable': 5, 'Inconclusive': 1}</t>
  </si>
  <si>
    <t>{'Secure': 1, 'Vulnerable': 9, 'Inconclusive': 1}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</si>
  <si>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</si>
  <si>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</si>
  <si>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</si>
  <si>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</si>
  <si>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</si>
  <si>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Register</t>
  </si>
  <si>
    <t>Reset Coverage</t>
  </si>
  <si>
    <t>Secure: Skipped for detection, no registers needing reset detected</t>
  </si>
  <si>
    <t>Result Output</t>
  </si>
  <si>
    <t>Intermediate State/Results Leakage</t>
  </si>
  <si>
    <t>out</t>
  </si>
  <si>
    <t>Vulnerable: 'out' is assigned before result is valid</t>
  </si>
  <si>
    <t>Secure: Skipped for detection, not a cryptographic module</t>
  </si>
  <si>
    <t>data_o</t>
  </si>
  <si>
    <t>Vulnerable: 'data_o' is assigned before result is valid</t>
  </si>
  <si>
    <t>result</t>
  </si>
  <si>
    <t>Vulnerable: 'result' is assigned before result is valid</t>
  </si>
  <si>
    <t>digest</t>
  </si>
  <si>
    <t>Vulnerable: 'digest' is assigned before result is valid</t>
  </si>
  <si>
    <t>hash_o</t>
  </si>
  <si>
    <t>Vulnerable: 'hash_o' is assigned before result is valid</t>
  </si>
  <si>
    <t>o</t>
  </si>
  <si>
    <t>Vulnerable: 'o' is assigned before result is valid</t>
  </si>
  <si>
    <t>data_out</t>
  </si>
  <si>
    <t>Vulnerable: 'data_out' is assigned before result is valid</t>
  </si>
  <si>
    <t>LoC</t>
  </si>
  <si>
    <t>Detection Time</t>
  </si>
  <si>
    <t>TP</t>
  </si>
  <si>
    <t>TN</t>
  </si>
  <si>
    <t>Total Module Defintitions</t>
  </si>
  <si>
    <t>FP</t>
  </si>
  <si>
    <t>FN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</si>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</sst>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defaultRowHeight="14.4" x14ac:dyDescent="0.3"/>
  <cols>
    <col min="2" max="2" width="24" bestFit="1" customWidth="1"/>
    <col min="4" max="4" width="45.6640625" bestFit="1" customWidth="1"/>
    <col min="5" max="5" width="2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</row>
    <row r="4" spans="1:6" x14ac:dyDescent="0.3">
      <c r="A4" t="s">
        <v>6</v>
      </c>
      <c r="B4" t="s">
        <v>13</v>
      </c>
      <c r="C4" t="s">
        <v>12</v>
      </c>
    </row>
    <row r="5" spans="1:6" x14ac:dyDescent="0.3">
      <c r="A5" t="s">
        <v>6</v>
      </c>
      <c r="B5" t="s">
        <v>14</v>
      </c>
      <c r="C5" t="s">
        <v>12</v>
      </c>
    </row>
    <row r="6" spans="1:6" x14ac:dyDescent="0.3">
      <c r="A6" t="s">
        <v>6</v>
      </c>
      <c r="B6" t="s">
        <v>15</v>
      </c>
      <c r="C6" t="s">
        <v>12</v>
      </c>
    </row>
    <row r="7" spans="1:6" x14ac:dyDescent="0.3">
      <c r="A7" t="s">
        <v>16</v>
      </c>
      <c r="B7" t="s">
        <v>17</v>
      </c>
      <c r="C7">
        <v>1</v>
      </c>
      <c r="D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21</v>
      </c>
      <c r="C8" t="s">
        <v>12</v>
      </c>
    </row>
    <row r="9" spans="1:6" x14ac:dyDescent="0.3">
      <c r="A9" t="s">
        <v>22</v>
      </c>
      <c r="B9" t="s">
        <v>23</v>
      </c>
      <c r="C9">
        <v>1</v>
      </c>
      <c r="D9" t="s">
        <v>8</v>
      </c>
      <c r="E9" t="s">
        <v>24</v>
      </c>
      <c r="F9" t="s">
        <v>25</v>
      </c>
    </row>
    <row r="10" spans="1:6" x14ac:dyDescent="0.3">
      <c r="A10" t="s">
        <v>26</v>
      </c>
      <c r="B10" t="s">
        <v>27</v>
      </c>
      <c r="C10">
        <v>1</v>
      </c>
      <c r="D10" t="s">
        <v>28</v>
      </c>
      <c r="E10" t="s">
        <v>24</v>
      </c>
      <c r="F10" t="s">
        <v>29</v>
      </c>
    </row>
    <row r="11" spans="1:6" x14ac:dyDescent="0.3">
      <c r="A11" t="s">
        <v>30</v>
      </c>
      <c r="B11" t="s">
        <v>31</v>
      </c>
      <c r="C11">
        <v>1</v>
      </c>
      <c r="D11" t="s">
        <v>8</v>
      </c>
      <c r="E11" t="s">
        <v>24</v>
      </c>
      <c r="F11" t="s">
        <v>32</v>
      </c>
    </row>
    <row r="12" spans="1:6" x14ac:dyDescent="0.3">
      <c r="A12" t="s">
        <v>33</v>
      </c>
      <c r="B12" t="s">
        <v>34</v>
      </c>
      <c r="C12" t="s">
        <v>12</v>
      </c>
    </row>
    <row r="13" spans="1:6" x14ac:dyDescent="0.3">
      <c r="A13" t="s">
        <v>35</v>
      </c>
      <c r="B13" t="s">
        <v>36</v>
      </c>
      <c r="C13">
        <v>1</v>
      </c>
      <c r="D13" t="s">
        <v>28</v>
      </c>
      <c r="E13" t="s">
        <v>37</v>
      </c>
      <c r="F13" t="s">
        <v>38</v>
      </c>
    </row>
    <row r="14" spans="1:6" x14ac:dyDescent="0.3">
      <c r="A14" t="s">
        <v>35</v>
      </c>
      <c r="B14" t="s">
        <v>36</v>
      </c>
      <c r="C14">
        <v>2</v>
      </c>
      <c r="D14" t="s">
        <v>8</v>
      </c>
      <c r="E14" t="s">
        <v>24</v>
      </c>
      <c r="F14" t="s">
        <v>25</v>
      </c>
    </row>
    <row r="15" spans="1:6" x14ac:dyDescent="0.3">
      <c r="A15" t="s">
        <v>39</v>
      </c>
      <c r="B15" t="s">
        <v>40</v>
      </c>
      <c r="C15">
        <v>1</v>
      </c>
      <c r="D15" t="s">
        <v>28</v>
      </c>
      <c r="E15" t="s">
        <v>41</v>
      </c>
      <c r="F15" t="s">
        <v>42</v>
      </c>
    </row>
    <row r="16" spans="1:6" x14ac:dyDescent="0.3">
      <c r="A16" t="s">
        <v>39</v>
      </c>
      <c r="B16" t="s">
        <v>40</v>
      </c>
      <c r="C16">
        <v>2</v>
      </c>
      <c r="D16" t="s">
        <v>43</v>
      </c>
      <c r="E16" t="s">
        <v>44</v>
      </c>
      <c r="F16" t="s">
        <v>45</v>
      </c>
    </row>
    <row r="17" spans="1:6" x14ac:dyDescent="0.3">
      <c r="A17" t="s">
        <v>39</v>
      </c>
      <c r="B17" t="s">
        <v>40</v>
      </c>
      <c r="C17">
        <v>3</v>
      </c>
      <c r="D17" t="s">
        <v>8</v>
      </c>
      <c r="E17" t="s">
        <v>46</v>
      </c>
      <c r="F17" t="s">
        <v>47</v>
      </c>
    </row>
    <row r="18" spans="1:6" x14ac:dyDescent="0.3">
      <c r="A18" t="s">
        <v>39</v>
      </c>
      <c r="B18" t="s">
        <v>40</v>
      </c>
      <c r="C18">
        <v>4</v>
      </c>
      <c r="D18" t="s">
        <v>43</v>
      </c>
      <c r="E18" t="s">
        <v>24</v>
      </c>
      <c r="F18" t="s">
        <v>48</v>
      </c>
    </row>
    <row r="19" spans="1:6" x14ac:dyDescent="0.3">
      <c r="A19" t="s">
        <v>49</v>
      </c>
      <c r="B19" t="s">
        <v>50</v>
      </c>
      <c r="C19" t="s">
        <v>12</v>
      </c>
    </row>
    <row r="20" spans="1:6" x14ac:dyDescent="0.3">
      <c r="A20" t="s">
        <v>51</v>
      </c>
      <c r="C20">
        <v>18</v>
      </c>
      <c r="D20" t="s">
        <v>52</v>
      </c>
      <c r="E20" t="s">
        <v>53</v>
      </c>
      <c r="F2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cols>
    <col min="1" max="1" width="43.44140625" bestFit="1" customWidth="1"/>
    <col min="2" max="2" width="24" bestFit="1" customWidth="1"/>
    <col min="3" max="3" width="62.88671875" bestFit="1" customWidth="1"/>
    <col min="4" max="4" width="23.88671875" bestFit="1" customWidth="1"/>
    <col min="5" max="5" width="16.33203125" bestFit="1" customWidth="1"/>
    <col min="6" max="6" width="33" bestFit="1" customWidth="1"/>
  </cols>
  <sheetData>
    <row r="1" spans="1:6" x14ac:dyDescent="0.3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t="s">
        <v>6</v>
      </c>
      <c r="B2" t="s">
        <v>7</v>
      </c>
      <c r="C2" t="s">
        <v>59</v>
      </c>
    </row>
    <row r="3" spans="1:6" x14ac:dyDescent="0.3">
      <c r="A3" t="s">
        <v>6</v>
      </c>
      <c r="B3" t="s">
        <v>11</v>
      </c>
      <c r="C3" t="s">
        <v>59</v>
      </c>
    </row>
    <row r="4" spans="1:6" x14ac:dyDescent="0.3">
      <c r="A4" t="s">
        <v>6</v>
      </c>
      <c r="B4" t="s">
        <v>13</v>
      </c>
      <c r="C4" t="s">
        <v>59</v>
      </c>
    </row>
    <row r="5" spans="1:6" x14ac:dyDescent="0.3">
      <c r="A5" t="s">
        <v>6</v>
      </c>
      <c r="B5" t="s">
        <v>14</v>
      </c>
      <c r="C5" t="s">
        <v>59</v>
      </c>
    </row>
    <row r="6" spans="1:6" x14ac:dyDescent="0.3">
      <c r="A6" t="s">
        <v>6</v>
      </c>
      <c r="B6" t="s">
        <v>15</v>
      </c>
      <c r="C6" t="s">
        <v>59</v>
      </c>
    </row>
    <row r="7" spans="1:6" x14ac:dyDescent="0.3">
      <c r="A7" t="s">
        <v>16</v>
      </c>
      <c r="B7" t="s">
        <v>17</v>
      </c>
      <c r="C7" t="s">
        <v>59</v>
      </c>
    </row>
    <row r="8" spans="1:6" x14ac:dyDescent="0.3">
      <c r="A8" t="s">
        <v>20</v>
      </c>
      <c r="B8" t="s">
        <v>21</v>
      </c>
      <c r="C8" t="s">
        <v>59</v>
      </c>
    </row>
    <row r="9" spans="1:6" x14ac:dyDescent="0.3">
      <c r="A9" t="s">
        <v>22</v>
      </c>
      <c r="B9" t="s">
        <v>23</v>
      </c>
      <c r="C9" t="s">
        <v>59</v>
      </c>
    </row>
    <row r="10" spans="1:6" x14ac:dyDescent="0.3">
      <c r="A10" t="s">
        <v>26</v>
      </c>
      <c r="B10" t="s">
        <v>27</v>
      </c>
      <c r="C10" t="s">
        <v>59</v>
      </c>
    </row>
    <row r="11" spans="1:6" x14ac:dyDescent="0.3">
      <c r="A11" t="s">
        <v>30</v>
      </c>
      <c r="B11" t="s">
        <v>31</v>
      </c>
      <c r="C11" t="s">
        <v>59</v>
      </c>
    </row>
    <row r="12" spans="1:6" x14ac:dyDescent="0.3">
      <c r="A12" t="s">
        <v>33</v>
      </c>
      <c r="B12" t="s">
        <v>34</v>
      </c>
      <c r="C12" t="s">
        <v>59</v>
      </c>
    </row>
    <row r="13" spans="1:6" x14ac:dyDescent="0.3">
      <c r="A13" t="s">
        <v>35</v>
      </c>
      <c r="B13" t="s">
        <v>36</v>
      </c>
      <c r="C13" t="s">
        <v>59</v>
      </c>
    </row>
    <row r="14" spans="1:6" x14ac:dyDescent="0.3">
      <c r="A14" t="s">
        <v>39</v>
      </c>
      <c r="B14" t="s">
        <v>40</v>
      </c>
      <c r="C14" t="s">
        <v>59</v>
      </c>
    </row>
    <row r="15" spans="1:6" x14ac:dyDescent="0.3">
      <c r="A15" t="s">
        <v>49</v>
      </c>
      <c r="B15" t="s">
        <v>50</v>
      </c>
      <c r="C1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defaultRowHeight="14.4" x14ac:dyDescent="0.3"/>
  <cols>
    <col min="3" max="3" width="59.6640625" bestFit="1" customWidth="1"/>
  </cols>
  <sheetData>
    <row r="1" spans="1:4" x14ac:dyDescent="0.3">
      <c r="A1" s="1" t="s">
        <v>0</v>
      </c>
      <c r="B1" s="1" t="s">
        <v>1</v>
      </c>
      <c r="C1" s="1" t="s">
        <v>60</v>
      </c>
      <c r="D1" s="1" t="s">
        <v>61</v>
      </c>
    </row>
    <row r="2" spans="1:4" x14ac:dyDescent="0.3">
      <c r="A2" t="s">
        <v>6</v>
      </c>
      <c r="B2" t="s">
        <v>7</v>
      </c>
      <c r="C2" t="s">
        <v>62</v>
      </c>
    </row>
    <row r="3" spans="1:4" x14ac:dyDescent="0.3">
      <c r="A3" t="s">
        <v>6</v>
      </c>
      <c r="B3" t="s">
        <v>7</v>
      </c>
      <c r="C3" t="s">
        <v>62</v>
      </c>
    </row>
    <row r="4" spans="1:4" x14ac:dyDescent="0.3">
      <c r="A4" t="s">
        <v>6</v>
      </c>
      <c r="B4" t="s">
        <v>7</v>
      </c>
      <c r="C4" t="s">
        <v>62</v>
      </c>
    </row>
    <row r="5" spans="1:4" x14ac:dyDescent="0.3">
      <c r="A5" t="s">
        <v>6</v>
      </c>
      <c r="B5" t="s">
        <v>11</v>
      </c>
      <c r="C5" t="s">
        <v>62</v>
      </c>
    </row>
    <row r="6" spans="1:4" x14ac:dyDescent="0.3">
      <c r="A6" t="s">
        <v>6</v>
      </c>
      <c r="B6" t="s">
        <v>11</v>
      </c>
      <c r="C6" t="s">
        <v>62</v>
      </c>
    </row>
    <row r="7" spans="1:4" x14ac:dyDescent="0.3">
      <c r="A7" t="s">
        <v>6</v>
      </c>
      <c r="B7" t="s">
        <v>13</v>
      </c>
      <c r="C7" t="s">
        <v>62</v>
      </c>
    </row>
    <row r="8" spans="1:4" x14ac:dyDescent="0.3">
      <c r="A8" t="s">
        <v>6</v>
      </c>
      <c r="B8" t="s">
        <v>13</v>
      </c>
      <c r="C8" t="s">
        <v>62</v>
      </c>
    </row>
    <row r="9" spans="1:4" x14ac:dyDescent="0.3">
      <c r="A9" t="s">
        <v>6</v>
      </c>
      <c r="B9" t="s">
        <v>14</v>
      </c>
      <c r="C9" t="s">
        <v>62</v>
      </c>
    </row>
    <row r="10" spans="1:4" x14ac:dyDescent="0.3">
      <c r="A10" t="s">
        <v>6</v>
      </c>
      <c r="B10" t="s">
        <v>14</v>
      </c>
      <c r="C10" t="s">
        <v>62</v>
      </c>
    </row>
    <row r="11" spans="1:4" x14ac:dyDescent="0.3">
      <c r="A11" t="s">
        <v>6</v>
      </c>
      <c r="B11" t="s">
        <v>15</v>
      </c>
      <c r="C11" t="s">
        <v>62</v>
      </c>
    </row>
    <row r="12" spans="1:4" x14ac:dyDescent="0.3">
      <c r="A12" t="s">
        <v>6</v>
      </c>
      <c r="B12" t="s">
        <v>15</v>
      </c>
      <c r="C12" t="s">
        <v>62</v>
      </c>
    </row>
    <row r="13" spans="1:4" x14ac:dyDescent="0.3">
      <c r="A13" t="s">
        <v>16</v>
      </c>
      <c r="B13" t="s">
        <v>17</v>
      </c>
      <c r="C13" t="s">
        <v>62</v>
      </c>
    </row>
    <row r="14" spans="1:4" x14ac:dyDescent="0.3">
      <c r="A14" t="s">
        <v>20</v>
      </c>
      <c r="B14" t="s">
        <v>21</v>
      </c>
      <c r="C14" t="s">
        <v>62</v>
      </c>
    </row>
    <row r="15" spans="1:4" x14ac:dyDescent="0.3">
      <c r="A15" t="s">
        <v>22</v>
      </c>
      <c r="B15" t="s">
        <v>23</v>
      </c>
      <c r="C15" t="s">
        <v>62</v>
      </c>
    </row>
    <row r="16" spans="1:4" x14ac:dyDescent="0.3">
      <c r="A16" t="s">
        <v>22</v>
      </c>
      <c r="B16" t="s">
        <v>23</v>
      </c>
      <c r="C16" t="s">
        <v>62</v>
      </c>
    </row>
    <row r="17" spans="1:3" x14ac:dyDescent="0.3">
      <c r="A17" t="s">
        <v>22</v>
      </c>
      <c r="B17" t="s">
        <v>23</v>
      </c>
      <c r="C17" t="s">
        <v>62</v>
      </c>
    </row>
    <row r="18" spans="1:3" x14ac:dyDescent="0.3">
      <c r="A18" t="s">
        <v>22</v>
      </c>
      <c r="B18" t="s">
        <v>23</v>
      </c>
      <c r="C18" t="s">
        <v>62</v>
      </c>
    </row>
    <row r="19" spans="1:3" x14ac:dyDescent="0.3">
      <c r="A19" t="s">
        <v>26</v>
      </c>
      <c r="B19" t="s">
        <v>27</v>
      </c>
      <c r="C19" t="s">
        <v>62</v>
      </c>
    </row>
    <row r="20" spans="1:3" x14ac:dyDescent="0.3">
      <c r="A20" t="s">
        <v>26</v>
      </c>
      <c r="B20" t="s">
        <v>27</v>
      </c>
      <c r="C20" t="s">
        <v>62</v>
      </c>
    </row>
    <row r="21" spans="1:3" x14ac:dyDescent="0.3">
      <c r="A21" t="s">
        <v>26</v>
      </c>
      <c r="B21" t="s">
        <v>27</v>
      </c>
      <c r="C21" t="s">
        <v>62</v>
      </c>
    </row>
    <row r="22" spans="1:3" x14ac:dyDescent="0.3">
      <c r="A22" t="s">
        <v>26</v>
      </c>
      <c r="B22" t="s">
        <v>27</v>
      </c>
      <c r="C22" t="s">
        <v>62</v>
      </c>
    </row>
    <row r="23" spans="1:3" x14ac:dyDescent="0.3">
      <c r="A23" t="s">
        <v>26</v>
      </c>
      <c r="B23" t="s">
        <v>27</v>
      </c>
      <c r="C23" t="s">
        <v>62</v>
      </c>
    </row>
    <row r="24" spans="1:3" x14ac:dyDescent="0.3">
      <c r="A24" t="s">
        <v>26</v>
      </c>
      <c r="B24" t="s">
        <v>27</v>
      </c>
      <c r="C24" t="s">
        <v>62</v>
      </c>
    </row>
    <row r="25" spans="1:3" x14ac:dyDescent="0.3">
      <c r="A25" t="s">
        <v>26</v>
      </c>
      <c r="B25" t="s">
        <v>27</v>
      </c>
      <c r="C25" t="s">
        <v>62</v>
      </c>
    </row>
    <row r="26" spans="1:3" x14ac:dyDescent="0.3">
      <c r="A26" t="s">
        <v>30</v>
      </c>
      <c r="B26" t="s">
        <v>31</v>
      </c>
      <c r="C26" t="s">
        <v>62</v>
      </c>
    </row>
    <row r="27" spans="1:3" x14ac:dyDescent="0.3">
      <c r="A27" t="s">
        <v>35</v>
      </c>
      <c r="B27" t="s">
        <v>36</v>
      </c>
      <c r="C27" t="s">
        <v>62</v>
      </c>
    </row>
    <row r="28" spans="1:3" x14ac:dyDescent="0.3">
      <c r="A28" t="s">
        <v>35</v>
      </c>
      <c r="B28" t="s">
        <v>36</v>
      </c>
      <c r="C28" t="s">
        <v>62</v>
      </c>
    </row>
    <row r="29" spans="1:3" x14ac:dyDescent="0.3">
      <c r="A29" t="s">
        <v>35</v>
      </c>
      <c r="B29" t="s">
        <v>36</v>
      </c>
      <c r="C29" t="s">
        <v>62</v>
      </c>
    </row>
    <row r="30" spans="1:3" x14ac:dyDescent="0.3">
      <c r="A30" t="s">
        <v>35</v>
      </c>
      <c r="B30" t="s">
        <v>36</v>
      </c>
      <c r="C30" t="s">
        <v>62</v>
      </c>
    </row>
    <row r="31" spans="1:3" x14ac:dyDescent="0.3">
      <c r="A31" t="s">
        <v>35</v>
      </c>
      <c r="B31" t="s">
        <v>36</v>
      </c>
      <c r="C31" t="s">
        <v>62</v>
      </c>
    </row>
    <row r="32" spans="1:3" x14ac:dyDescent="0.3">
      <c r="A32" t="s">
        <v>35</v>
      </c>
      <c r="B32" t="s">
        <v>36</v>
      </c>
      <c r="C32" t="s">
        <v>62</v>
      </c>
    </row>
    <row r="33" spans="1:3" x14ac:dyDescent="0.3">
      <c r="A33" t="s">
        <v>35</v>
      </c>
      <c r="B33" t="s">
        <v>36</v>
      </c>
      <c r="C33" t="s">
        <v>62</v>
      </c>
    </row>
    <row r="34" spans="1:3" x14ac:dyDescent="0.3">
      <c r="A34" t="s">
        <v>35</v>
      </c>
      <c r="B34" t="s">
        <v>36</v>
      </c>
      <c r="C34" t="s">
        <v>62</v>
      </c>
    </row>
    <row r="35" spans="1:3" x14ac:dyDescent="0.3">
      <c r="A35" t="s">
        <v>39</v>
      </c>
      <c r="B35" t="s">
        <v>40</v>
      </c>
      <c r="C35" t="s">
        <v>62</v>
      </c>
    </row>
    <row r="36" spans="1:3" x14ac:dyDescent="0.3">
      <c r="A36" t="s">
        <v>39</v>
      </c>
      <c r="B36" t="s">
        <v>40</v>
      </c>
      <c r="C36" t="s">
        <v>62</v>
      </c>
    </row>
    <row r="37" spans="1:3" x14ac:dyDescent="0.3">
      <c r="A37" t="s">
        <v>39</v>
      </c>
      <c r="B37" t="s">
        <v>40</v>
      </c>
      <c r="C37" t="s">
        <v>62</v>
      </c>
    </row>
    <row r="38" spans="1:3" x14ac:dyDescent="0.3">
      <c r="A38" t="s">
        <v>39</v>
      </c>
      <c r="B38" t="s">
        <v>40</v>
      </c>
      <c r="C38" t="s">
        <v>62</v>
      </c>
    </row>
    <row r="39" spans="1:3" x14ac:dyDescent="0.3">
      <c r="A39" t="s">
        <v>39</v>
      </c>
      <c r="B39" t="s">
        <v>40</v>
      </c>
      <c r="C39" t="s">
        <v>62</v>
      </c>
    </row>
    <row r="40" spans="1:3" x14ac:dyDescent="0.3">
      <c r="A40" t="s">
        <v>49</v>
      </c>
      <c r="B40" t="s">
        <v>50</v>
      </c>
      <c r="C40" t="s">
        <v>62</v>
      </c>
    </row>
    <row r="41" spans="1:3" x14ac:dyDescent="0.3">
      <c r="A41" t="s">
        <v>49</v>
      </c>
      <c r="B41" t="s">
        <v>50</v>
      </c>
      <c r="C41" t="s">
        <v>62</v>
      </c>
    </row>
    <row r="42" spans="1:3" x14ac:dyDescent="0.3">
      <c r="A42" t="s">
        <v>49</v>
      </c>
      <c r="B42" t="s">
        <v>50</v>
      </c>
      <c r="C42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tabSelected="1" workbookViewId="0">
      <selection activeCell="I16" sqref="I16"/>
    </sheetView>
  </sheetViews>
  <sheetFormatPr defaultRowHeight="14.4" x14ac:dyDescent="0.3"/>
  <cols>
    <col min="1" max="1" width="43.44140625" style="2" bestFit="1" customWidth="1"/>
    <col min="2" max="2" width="24" style="2" bestFit="1" customWidth="1"/>
    <col min="3" max="3" width="13" style="2" bestFit="1" customWidth="1"/>
    <col min="4" max="4" width="52.21875" style="2" bestFit="1" customWidth="1"/>
    <col min="5" max="7" width="8.88671875" style="2"/>
    <col min="8" max="8" width="23.44140625" style="2" bestFit="1" customWidth="1"/>
    <col min="9" max="16384" width="8.88671875" style="2"/>
  </cols>
  <sheetData>
    <row r="1" spans="1:12" x14ac:dyDescent="0.3">
      <c r="A1" s="1" t="s">
        <v>0</v>
      </c>
      <c r="B1" s="1" t="s">
        <v>1</v>
      </c>
      <c r="C1" s="1" t="s">
        <v>63</v>
      </c>
      <c r="D1" s="1" t="s">
        <v>64</v>
      </c>
    </row>
    <row r="2" spans="1:12" x14ac:dyDescent="0.3">
      <c r="A2" s="2" t="s">
        <v>6</v>
      </c>
      <c r="B2" s="2" t="s">
        <v>7</v>
      </c>
      <c r="C2" s="2" t="s">
        <v>65</v>
      </c>
      <c r="D2" s="2" t="s">
        <v>66</v>
      </c>
      <c r="E2" s="2" t="s">
        <v>82</v>
      </c>
    </row>
    <row r="3" spans="1:12" x14ac:dyDescent="0.3">
      <c r="A3" s="2" t="s">
        <v>6</v>
      </c>
      <c r="B3" s="2" t="s">
        <v>11</v>
      </c>
      <c r="D3" s="2" t="s">
        <v>67</v>
      </c>
      <c r="E3" s="2" t="s">
        <v>83</v>
      </c>
    </row>
    <row r="4" spans="1:12" x14ac:dyDescent="0.3">
      <c r="A4" s="2" t="s">
        <v>6</v>
      </c>
      <c r="B4" s="2" t="s">
        <v>13</v>
      </c>
      <c r="D4" s="2" t="s">
        <v>67</v>
      </c>
      <c r="E4" s="2" t="s">
        <v>83</v>
      </c>
    </row>
    <row r="5" spans="1:12" x14ac:dyDescent="0.3">
      <c r="A5" s="2" t="s">
        <v>6</v>
      </c>
      <c r="B5" s="2" t="s">
        <v>14</v>
      </c>
      <c r="D5" s="2" t="s">
        <v>67</v>
      </c>
      <c r="E5" s="2" t="s">
        <v>83</v>
      </c>
      <c r="H5" s="2" t="s">
        <v>84</v>
      </c>
      <c r="I5" s="2" t="s">
        <v>82</v>
      </c>
      <c r="J5" s="2" t="s">
        <v>85</v>
      </c>
      <c r="K5" s="2" t="s">
        <v>86</v>
      </c>
      <c r="L5" s="2" t="s">
        <v>83</v>
      </c>
    </row>
    <row r="6" spans="1:12" x14ac:dyDescent="0.3">
      <c r="A6" s="2" t="s">
        <v>6</v>
      </c>
      <c r="B6" s="2" t="s">
        <v>15</v>
      </c>
      <c r="D6" s="2" t="s">
        <v>67</v>
      </c>
      <c r="E6" s="2" t="s">
        <v>83</v>
      </c>
      <c r="H6" s="2">
        <v>14</v>
      </c>
      <c r="I6" s="2">
        <v>10</v>
      </c>
      <c r="J6" s="2">
        <v>0</v>
      </c>
      <c r="K6" s="2">
        <v>0</v>
      </c>
      <c r="L6" s="2">
        <v>4</v>
      </c>
    </row>
    <row r="7" spans="1:12" x14ac:dyDescent="0.3">
      <c r="A7" s="2" t="s">
        <v>16</v>
      </c>
      <c r="B7" s="2" t="s">
        <v>17</v>
      </c>
      <c r="C7" s="2" t="s">
        <v>68</v>
      </c>
      <c r="D7" s="2" t="s">
        <v>69</v>
      </c>
      <c r="E7" s="2" t="s">
        <v>82</v>
      </c>
    </row>
    <row r="8" spans="1:12" x14ac:dyDescent="0.3">
      <c r="A8" s="2" t="s">
        <v>20</v>
      </c>
      <c r="B8" s="2" t="s">
        <v>21</v>
      </c>
      <c r="C8" s="2" t="s">
        <v>68</v>
      </c>
      <c r="D8" s="2" t="s">
        <v>69</v>
      </c>
      <c r="E8" s="2" t="s">
        <v>82</v>
      </c>
    </row>
    <row r="9" spans="1:12" x14ac:dyDescent="0.3">
      <c r="A9" s="2" t="s">
        <v>22</v>
      </c>
      <c r="B9" s="2" t="s">
        <v>23</v>
      </c>
      <c r="C9" s="2" t="s">
        <v>70</v>
      </c>
      <c r="D9" s="2" t="s">
        <v>71</v>
      </c>
      <c r="E9" s="2" t="s">
        <v>82</v>
      </c>
      <c r="H9" s="2" t="s">
        <v>87</v>
      </c>
      <c r="I9" s="2">
        <f>I6/(I6+K6)</f>
        <v>1</v>
      </c>
    </row>
    <row r="10" spans="1:12" x14ac:dyDescent="0.3">
      <c r="A10" s="2" t="s">
        <v>26</v>
      </c>
      <c r="B10" s="2" t="s">
        <v>27</v>
      </c>
      <c r="C10" s="2" t="s">
        <v>72</v>
      </c>
      <c r="D10" s="2" t="s">
        <v>73</v>
      </c>
      <c r="E10" s="2" t="s">
        <v>82</v>
      </c>
      <c r="H10" s="2" t="s">
        <v>88</v>
      </c>
      <c r="I10" s="2">
        <f>I6/(I6+J6)</f>
        <v>1</v>
      </c>
    </row>
    <row r="11" spans="1:12" x14ac:dyDescent="0.3">
      <c r="A11" s="2" t="s">
        <v>30</v>
      </c>
      <c r="B11" s="2" t="s">
        <v>31</v>
      </c>
      <c r="C11" s="2" t="s">
        <v>74</v>
      </c>
      <c r="D11" s="2" t="s">
        <v>75</v>
      </c>
      <c r="E11" s="2" t="s">
        <v>82</v>
      </c>
    </row>
    <row r="12" spans="1:12" x14ac:dyDescent="0.3">
      <c r="A12" s="2" t="s">
        <v>33</v>
      </c>
      <c r="B12" s="2" t="s">
        <v>34</v>
      </c>
      <c r="C12" s="2" t="s">
        <v>76</v>
      </c>
      <c r="D12" s="2" t="s">
        <v>77</v>
      </c>
      <c r="E12" s="2" t="s">
        <v>82</v>
      </c>
    </row>
    <row r="13" spans="1:12" x14ac:dyDescent="0.3">
      <c r="A13" s="2" t="s">
        <v>35</v>
      </c>
      <c r="B13" s="2" t="s">
        <v>36</v>
      </c>
      <c r="C13" s="2" t="s">
        <v>78</v>
      </c>
      <c r="D13" s="2" t="s">
        <v>79</v>
      </c>
      <c r="E13" s="2" t="s">
        <v>82</v>
      </c>
    </row>
    <row r="14" spans="1:12" x14ac:dyDescent="0.3">
      <c r="A14" s="2" t="s">
        <v>39</v>
      </c>
      <c r="B14" s="2" t="s">
        <v>40</v>
      </c>
      <c r="C14" s="2" t="s">
        <v>68</v>
      </c>
      <c r="D14" s="2" t="s">
        <v>69</v>
      </c>
      <c r="E14" s="2" t="s">
        <v>82</v>
      </c>
    </row>
    <row r="15" spans="1:12" x14ac:dyDescent="0.3">
      <c r="A15" s="2" t="s">
        <v>49</v>
      </c>
      <c r="B15" s="2" t="s">
        <v>50</v>
      </c>
      <c r="C15" s="2" t="s">
        <v>65</v>
      </c>
      <c r="D15" s="2" t="s">
        <v>66</v>
      </c>
      <c r="E15" s="2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80</v>
      </c>
      <c r="D1" s="1" t="s">
        <v>81</v>
      </c>
    </row>
    <row r="2" spans="1:4" x14ac:dyDescent="0.3">
      <c r="A2" t="s">
        <v>6</v>
      </c>
      <c r="B2" t="s">
        <v>7</v>
      </c>
      <c r="C2">
        <v>89</v>
      </c>
      <c r="D2">
        <v>3.3086200011894107E-2</v>
      </c>
    </row>
    <row r="3" spans="1:4" x14ac:dyDescent="0.3">
      <c r="A3" t="s">
        <v>6</v>
      </c>
      <c r="B3" t="s">
        <v>11</v>
      </c>
      <c r="C3">
        <v>36</v>
      </c>
      <c r="D3">
        <v>3.5152700031176209E-2</v>
      </c>
    </row>
    <row r="4" spans="1:4" x14ac:dyDescent="0.3">
      <c r="A4" t="s">
        <v>6</v>
      </c>
      <c r="B4" t="s">
        <v>13</v>
      </c>
      <c r="C4">
        <v>25</v>
      </c>
      <c r="D4">
        <v>3.6360200028866529E-2</v>
      </c>
    </row>
    <row r="5" spans="1:4" x14ac:dyDescent="0.3">
      <c r="A5" t="s">
        <v>6</v>
      </c>
      <c r="B5" t="s">
        <v>14</v>
      </c>
      <c r="C5">
        <v>34</v>
      </c>
      <c r="D5">
        <v>3.835569997318089E-2</v>
      </c>
    </row>
    <row r="6" spans="1:4" x14ac:dyDescent="0.3">
      <c r="A6" t="s">
        <v>6</v>
      </c>
      <c r="B6" t="s">
        <v>15</v>
      </c>
      <c r="C6">
        <v>32</v>
      </c>
      <c r="D6">
        <v>3.9800500031560659E-2</v>
      </c>
    </row>
    <row r="7" spans="1:4" x14ac:dyDescent="0.3">
      <c r="A7" t="s">
        <v>16</v>
      </c>
      <c r="B7" t="s">
        <v>17</v>
      </c>
      <c r="C7">
        <v>54</v>
      </c>
      <c r="D7">
        <v>1.087530003860593E-2</v>
      </c>
    </row>
    <row r="8" spans="1:4" x14ac:dyDescent="0.3">
      <c r="A8" t="s">
        <v>20</v>
      </c>
      <c r="B8" t="s">
        <v>21</v>
      </c>
      <c r="C8">
        <v>38</v>
      </c>
      <c r="D8">
        <v>1.308230007998645E-2</v>
      </c>
    </row>
    <row r="9" spans="1:4" x14ac:dyDescent="0.3">
      <c r="A9" t="s">
        <v>22</v>
      </c>
      <c r="B9" t="s">
        <v>23</v>
      </c>
      <c r="C9">
        <v>296</v>
      </c>
      <c r="D9">
        <v>1.559339999221265E-2</v>
      </c>
    </row>
    <row r="10" spans="1:4" x14ac:dyDescent="0.3">
      <c r="A10" t="s">
        <v>26</v>
      </c>
      <c r="B10" t="s">
        <v>27</v>
      </c>
      <c r="C10">
        <v>516</v>
      </c>
      <c r="D10">
        <v>2.2819700068794191E-2</v>
      </c>
    </row>
    <row r="11" spans="1:4" x14ac:dyDescent="0.3">
      <c r="A11" t="s">
        <v>30</v>
      </c>
      <c r="B11" t="s">
        <v>31</v>
      </c>
      <c r="C11">
        <v>175</v>
      </c>
      <c r="D11">
        <v>3.1383899971842773E-2</v>
      </c>
    </row>
    <row r="12" spans="1:4" x14ac:dyDescent="0.3">
      <c r="A12" t="s">
        <v>33</v>
      </c>
      <c r="B12" t="s">
        <v>34</v>
      </c>
      <c r="C12">
        <v>82</v>
      </c>
      <c r="D12">
        <v>2.946630003862083E-2</v>
      </c>
    </row>
    <row r="13" spans="1:4" x14ac:dyDescent="0.3">
      <c r="A13" t="s">
        <v>35</v>
      </c>
      <c r="B13" t="s">
        <v>36</v>
      </c>
      <c r="C13">
        <v>666</v>
      </c>
      <c r="D13">
        <v>5.5681300000287592E-2</v>
      </c>
    </row>
    <row r="14" spans="1:4" x14ac:dyDescent="0.3">
      <c r="A14" t="s">
        <v>39</v>
      </c>
      <c r="B14" t="s">
        <v>40</v>
      </c>
      <c r="C14">
        <v>386</v>
      </c>
      <c r="D14">
        <v>2.7061200002208349E-2</v>
      </c>
    </row>
    <row r="15" spans="1:4" x14ac:dyDescent="0.3">
      <c r="A15" t="s">
        <v>49</v>
      </c>
      <c r="B15" t="s">
        <v>50</v>
      </c>
      <c r="C15">
        <v>69</v>
      </c>
      <c r="D15">
        <v>3.4548399853520102E-2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2025-12-11T15:30:15Z</dcterms:modified>
</cp:coreProperties>
</file>